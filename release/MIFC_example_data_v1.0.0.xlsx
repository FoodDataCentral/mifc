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ood" sheetId="2" state="visible" r:id="rId4"/>
    <sheet name="Component" sheetId="3" state="visible" r:id="rId5"/>
    <sheet name="Resour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<sst xmlns="http://schemas.openxmlformats.org/spreadsheetml/2006/main" count="1733" uniqueCount="491">
  <si>
    <r>
      <rPr>
        <b val="true"/>
        <sz val="12"/>
        <color theme="1"/>
        <rFont val="Aptos Narrow"/>
        <family val="2"/>
        <charset val="1"/>
      </rPr>
      <t xml:space="preserve">This sheet contains example data formatted using </t>
    </r>
    <r>
      <rPr>
        <b val="true"/>
        <sz val="12"/>
        <color theme="1"/>
        <rFont val="Aptos Narrow"/>
        <family val="0"/>
        <charset val="1"/>
      </rPr>
      <t xml:space="preserve">USDA FoodData Central Minimum Information (about any) Food Composition (MIFC)</t>
    </r>
    <r>
      <rPr>
        <b val="true"/>
        <sz val="12"/>
        <color theme="1"/>
        <rFont val="Aptos Narrow"/>
        <family val="2"/>
        <charset val="1"/>
      </rPr>
      <t xml:space="preserve"> </t>
    </r>
    <r>
      <rPr>
        <b val="true"/>
        <sz val="12"/>
        <color theme="1"/>
        <rFont val="Aptos Narrow"/>
        <family val="0"/>
        <charset val="1"/>
      </rPr>
      <t xml:space="preserve">v1.0.0.</t>
    </r>
  </si>
  <si>
    <t xml:space="preserve">MIFC provides a general-purpose schema for the description of Food Composition Tables and Databases (FCT/D). MIFC is intended to enumerate, standardize and validate (meta)/data relevant to FCT/D. MIFC is a Minimum Information Standard (MIS) for food composition data. MIS are sets of guidelines and data reporting formats that are used to standardize scientific data.</t>
  </si>
  <si>
    <t xml:space="preserve">This sheet contains the following tabs:</t>
  </si>
  <si>
    <r>
      <rPr>
        <b val="true"/>
        <sz val="12"/>
        <color rgb="FF000000"/>
        <rFont val="Aptos Narrow"/>
        <family val="0"/>
        <charset val="1"/>
      </rPr>
      <t xml:space="preserve">1) Food:</t>
    </r>
    <r>
      <rPr>
        <sz val="12"/>
        <color rgb="FF000000"/>
        <rFont val="Aptos Narrow"/>
        <family val="2"/>
        <charset val="1"/>
      </rPr>
      <t xml:space="preserve"> relating to the description of data and metadata about foods analyzed for components of nutritional interest.</t>
    </r>
  </si>
  <si>
    <r>
      <rPr>
        <b val="true"/>
        <sz val="12"/>
        <color rgb="FF000000"/>
        <rFont val="Aptos Narrow"/>
        <family val="0"/>
        <charset val="1"/>
      </rPr>
      <t xml:space="preserve">2) Component:</t>
    </r>
    <r>
      <rPr>
        <sz val="12"/>
        <color rgb="FF000000"/>
        <rFont val="Aptos Narrow"/>
        <family val="2"/>
        <charset val="1"/>
      </rPr>
      <t xml:space="preserve"> relating to data and metadata about components of nutritional interest (including contaminants) measured from foods.</t>
    </r>
  </si>
  <si>
    <r>
      <rPr>
        <b val="true"/>
        <sz val="12"/>
        <color rgb="FF000000"/>
        <rFont val="Aptos Narrow"/>
        <family val="0"/>
        <charset val="1"/>
      </rPr>
      <t xml:space="preserve">3) Resource:</t>
    </r>
    <r>
      <rPr>
        <sz val="12"/>
        <color rgb="FF000000"/>
        <rFont val="Aptos Narrow"/>
        <family val="2"/>
        <charset val="1"/>
      </rPr>
      <t xml:space="preserve"> relating to metadata about the provenance of MIFC collection resources at a data-set level</t>
    </r>
  </si>
  <si>
    <t xml:space="preserve">Color coding:</t>
  </si>
  <si>
    <t xml:space="preserve">Green highlight indicates required MIFC fields</t>
  </si>
  <si>
    <t xml:space="preserve">Yellow highlight indicates recommended MIFC fields</t>
  </si>
  <si>
    <t xml:space="preserve">Additional references: https://github.com/FoodDataCentral/mifc for MIFC source code and release corresponding to the content of this sheet.</t>
  </si>
  <si>
    <r>
      <rPr>
        <sz val="12"/>
        <color rgb="FF000000"/>
        <rFont val="Aptos Narrow"/>
        <family val="0"/>
        <charset val="1"/>
      </rPr>
      <t xml:space="preserve">Prepared by: Kai Blumberg ORISE postdoctoral fellow working with the USDA ARS BHNRS FHPEL, April 10</t>
    </r>
    <r>
      <rPr>
        <vertAlign val="superscript"/>
        <sz val="12"/>
        <color rgb="FF000000"/>
        <rFont val="Aptos Narrow"/>
        <family val="0"/>
        <charset val="1"/>
      </rPr>
      <t xml:space="preserve">th</t>
    </r>
    <r>
      <rPr>
        <sz val="12"/>
        <color rgb="FF000000"/>
        <rFont val="Aptos Narrow"/>
        <family val="0"/>
        <charset val="1"/>
      </rPr>
      <t xml:space="preserve"> 2026.</t>
    </r>
  </si>
  <si>
    <t xml:space="preserve">food_sample_id</t>
  </si>
  <si>
    <t xml:space="preserve">food_description_label</t>
  </si>
  <si>
    <t xml:space="preserve">food_primary_type</t>
  </si>
  <si>
    <t xml:space="preserve">food_description_match_type</t>
  </si>
  <si>
    <t xml:space="preserve">food_primary_type_label</t>
  </si>
  <si>
    <t xml:space="preserve">food_primary_type_scientific_name</t>
  </si>
  <si>
    <t xml:space="preserve">food_primary_type_cultivar_name</t>
  </si>
  <si>
    <t xml:space="preserve">food_primary_type_animal_breed_name</t>
  </si>
  <si>
    <t xml:space="preserve">food_primary_type_ncbi_taxon_id</t>
  </si>
  <si>
    <t xml:space="preserve">food_upc_code</t>
  </si>
  <si>
    <t xml:space="preserve">food_preservation_state</t>
  </si>
  <si>
    <t xml:space="preserve">food_storage_temperature_state</t>
  </si>
  <si>
    <t xml:space="preserve">food_ripeness_state</t>
  </si>
  <si>
    <t xml:space="preserve">food_cooking_method</t>
  </si>
  <si>
    <t xml:space="preserve">food_origin_country</t>
  </si>
  <si>
    <t xml:space="preserve">food_acquisition_city</t>
  </si>
  <si>
    <t xml:space="preserve">food_acquisition_country</t>
  </si>
  <si>
    <t xml:space="preserve">food_acquisition_country_subdivision</t>
  </si>
  <si>
    <t xml:space="preserve">food_acquisition_date</t>
  </si>
  <si>
    <t xml:space="preserve">food_acquisition_year</t>
  </si>
  <si>
    <t xml:space="preserve">food_acquisition_location_type</t>
  </si>
  <si>
    <t xml:space="preserve">food_acquisition_location_name</t>
  </si>
  <si>
    <t xml:space="preserve">food_acquisition_latitude</t>
  </si>
  <si>
    <t xml:space="preserve">food_acquisition_longitude</t>
  </si>
  <si>
    <t xml:space="preserve">food_acquisition_agent_name</t>
  </si>
  <si>
    <t xml:space="preserve">food_acquisition_organization</t>
  </si>
  <si>
    <t xml:space="preserve">food_distributor_city</t>
  </si>
  <si>
    <t xml:space="preserve">food_distributor_country</t>
  </si>
  <si>
    <t xml:space="preserve">food_distributor_country_subdivision</t>
  </si>
  <si>
    <t xml:space="preserve">food_expiration_date</t>
  </si>
  <si>
    <t xml:space="preserve">food_label_date</t>
  </si>
  <si>
    <t xml:space="preserve">food_sell_by_date</t>
  </si>
  <si>
    <t xml:space="preserve">food_category_label</t>
  </si>
  <si>
    <t xml:space="preserve">food_category_type</t>
  </si>
  <si>
    <t xml:space="preserve">food_additional_types</t>
  </si>
  <si>
    <t xml:space="preserve">food_laboratory_sample_id</t>
  </si>
  <si>
    <t xml:space="preserve">food_laboratory_sample_aliquot_id</t>
  </si>
  <si>
    <t xml:space="preserve">food_laboratory_sample_batch_id</t>
  </si>
  <si>
    <t xml:space="preserve">food_brand_name</t>
  </si>
  <si>
    <t xml:space="preserve">food_lot_number</t>
  </si>
  <si>
    <t xml:space="preserve">food_label_weight</t>
  </si>
  <si>
    <t xml:space="preserve">food_label_weight_unit</t>
  </si>
  <si>
    <t xml:space="preserve">food_sample_publication_date</t>
  </si>
  <si>
    <t xml:space="preserve">food_comment</t>
  </si>
  <si>
    <t xml:space="preserve">food_sample_weight</t>
  </si>
  <si>
    <t xml:space="preserve">food_sample_weight_unit</t>
  </si>
  <si>
    <t xml:space="preserve">food_sample_digested_weight</t>
  </si>
  <si>
    <t xml:space="preserve">food_sample_digested_weight_unit</t>
  </si>
  <si>
    <t xml:space="preserve">CY121UM</t>
  </si>
  <si>
    <t xml:space="preserve">HUMMUS, SABRA CLASSIC</t>
  </si>
  <si>
    <t xml:space="preserve">FOOD:16158</t>
  </si>
  <si>
    <t xml:space="preserve">skos:exactMatch</t>
  </si>
  <si>
    <t xml:space="preserve">Hummus, commercial</t>
  </si>
  <si>
    <t xml:space="preserve">Cicer arietinum</t>
  </si>
  <si>
    <t xml:space="preserve">NCBITaxon:3827</t>
  </si>
  <si>
    <t xml:space="preserve">shelf stable</t>
  </si>
  <si>
    <t xml:space="preserve">chilled</t>
  </si>
  <si>
    <t xml:space="preserve">boiled</t>
  </si>
  <si>
    <t xml:space="preserve">USA</t>
  </si>
  <si>
    <t xml:space="preserve">HASTINGS</t>
  </si>
  <si>
    <t xml:space="preserve">NE</t>
  </si>
  <si>
    <t xml:space="preserve">supermarket</t>
  </si>
  <si>
    <t xml:space="preserve">ALLENS FOOD MART</t>
  </si>
  <si>
    <t xml:space="preserve">Monique LeMesure</t>
  </si>
  <si>
    <t xml:space="preserve">FDA</t>
  </si>
  <si>
    <t xml:space="preserve">Cleveland</t>
  </si>
  <si>
    <t xml:space="preserve">Ohio</t>
  </si>
  <si>
    <t xml:space="preserve">Legumes and Legume Products</t>
  </si>
  <si>
    <t xml:space="preserve">FOOD:1600</t>
  </si>
  <si>
    <t xml:space="preserve">[CHICKPEA|syrup|water|salt]</t>
  </si>
  <si>
    <t xml:space="preserve">CY121UM_1</t>
  </si>
  <si>
    <t xml:space="preserve">xad1234</t>
  </si>
  <si>
    <t xml:space="preserve">t92</t>
  </si>
  <si>
    <t xml:space="preserve">SABRA</t>
  </si>
  <si>
    <t xml:space="preserve">[oz_av]</t>
  </si>
  <si>
    <t xml:space="preserve">This food was taken from a market and analyzed as a duplicate in mutiple passes </t>
  </si>
  <si>
    <t xml:space="preserve">g</t>
  </si>
  <si>
    <t xml:space="preserve">CY121UK</t>
  </si>
  <si>
    <t xml:space="preserve">CHARLOTTE</t>
  </si>
  <si>
    <t xml:space="preserve">OR</t>
  </si>
  <si>
    <t xml:space="preserve">SAKER SHOPRITE</t>
  </si>
  <si>
    <t xml:space="preserve">[CHICKPEA|syrup|Potassium Sorbate|water|salt]</t>
  </si>
  <si>
    <t xml:space="preserve">CY121UM_2</t>
  </si>
  <si>
    <t xml:space="preserve">xad1235</t>
  </si>
  <si>
    <t xml:space="preserve">23490234 BE1234 234</t>
  </si>
  <si>
    <t xml:space="preserve">CY121UO</t>
  </si>
  <si>
    <t xml:space="preserve">NEW PORT RICKEY</t>
  </si>
  <si>
    <t xml:space="preserve">CA</t>
  </si>
  <si>
    <t xml:space="preserve">SCHNUCK MARKET</t>
  </si>
  <si>
    <t xml:space="preserve">John Hilcraig</t>
  </si>
  <si>
    <t xml:space="preserve">USDA Food for Health of People and the Environment Laboratory</t>
  </si>
  <si>
    <t xml:space="preserve">Portland</t>
  </si>
  <si>
    <t xml:space="preserve">Maine</t>
  </si>
  <si>
    <t xml:space="preserve">CY121UM_3</t>
  </si>
  <si>
    <t xml:space="preserve">xad1236</t>
  </si>
  <si>
    <t xml:space="preserve">1107IAF11297</t>
  </si>
  <si>
    <t xml:space="preserve">CY121UT</t>
  </si>
  <si>
    <t xml:space="preserve">HUMMUS, OTHER</t>
  </si>
  <si>
    <t xml:space="preserve">EAST MEADOW</t>
  </si>
  <si>
    <t xml:space="preserve">HEB</t>
  </si>
  <si>
    <t xml:space="preserve">CY121UM_4</t>
  </si>
  <si>
    <t xml:space="preserve">xad1237</t>
  </si>
  <si>
    <t xml:space="preserve">Pimentos</t>
  </si>
  <si>
    <t xml:space="preserve">F3 PLT 343102041</t>
  </si>
  <si>
    <t xml:space="preserve">CY121UN</t>
  </si>
  <si>
    <t xml:space="preserve">PEYTON</t>
  </si>
  <si>
    <t xml:space="preserve">IA</t>
  </si>
  <si>
    <t xml:space="preserve">Costco</t>
  </si>
  <si>
    <t xml:space="preserve">CY121UM_5</t>
  </si>
  <si>
    <t xml:space="preserve">xad1238</t>
  </si>
  <si>
    <t xml:space="preserve">t93</t>
  </si>
  <si>
    <t xml:space="preserve">E0922</t>
  </si>
  <si>
    <t xml:space="preserve">CY121UP</t>
  </si>
  <si>
    <t xml:space="preserve">MEMPHIS</t>
  </si>
  <si>
    <t xml:space="preserve">KY</t>
  </si>
  <si>
    <t xml:space="preserve">Greek Market</t>
  </si>
  <si>
    <t xml:space="preserve">Charleston</t>
  </si>
  <si>
    <t xml:space="preserve">West Virginia</t>
  </si>
  <si>
    <t xml:space="preserve">CY121UM_6</t>
  </si>
  <si>
    <t xml:space="preserve">xad1239</t>
  </si>
  <si>
    <t xml:space="preserve">AB1 11002</t>
  </si>
  <si>
    <t xml:space="preserve">CY121UL</t>
  </si>
  <si>
    <t xml:space="preserve">PALMDALE</t>
  </si>
  <si>
    <t xml:space="preserve">NJ</t>
  </si>
  <si>
    <t xml:space="preserve">CY121UM_7</t>
  </si>
  <si>
    <t xml:space="preserve">xad1240</t>
  </si>
  <si>
    <t xml:space="preserve">AHY 0239422</t>
  </si>
  <si>
    <t xml:space="preserve">CY121UU</t>
  </si>
  <si>
    <t xml:space="preserve">HUMMUS, TRIBE CLASSIC</t>
  </si>
  <si>
    <t xml:space="preserve">PITTSBURGH</t>
  </si>
  <si>
    <t xml:space="preserve">WINN DIXIE</t>
  </si>
  <si>
    <t xml:space="preserve">CY121UM_8</t>
  </si>
  <si>
    <t xml:space="preserve">xad1241</t>
  </si>
  <si>
    <t xml:space="preserve">TRIBE</t>
  </si>
  <si>
    <t xml:space="preserve">69 XT 23423432</t>
  </si>
  <si>
    <t xml:space="preserve">CY121UR</t>
  </si>
  <si>
    <t xml:space="preserve">HUMMUS, OTHER, KALA CHANA</t>
  </si>
  <si>
    <t xml:space="preserve">Kala Chana</t>
  </si>
  <si>
    <t xml:space="preserve">NEWBURGH</t>
  </si>
  <si>
    <t xml:space="preserve">TX</t>
  </si>
  <si>
    <t xml:space="preserve">CY121UM_9</t>
  </si>
  <si>
    <t xml:space="preserve">xad1242</t>
  </si>
  <si>
    <t xml:space="preserve">Cannon</t>
  </si>
  <si>
    <t xml:space="preserve">YEY 80998708 AC</t>
  </si>
  <si>
    <t xml:space="preserve">Presumed lost in transit, but later sampels were found in a backup freezer.</t>
  </si>
  <si>
    <t xml:space="preserve">CY121UQ</t>
  </si>
  <si>
    <t xml:space="preserve">LOCUST GROVE</t>
  </si>
  <si>
    <t xml:space="preserve">CY121UM_10</t>
  </si>
  <si>
    <t xml:space="preserve">xad1243</t>
  </si>
  <si>
    <t xml:space="preserve">69 XT 3737034</t>
  </si>
  <si>
    <t xml:space="preserve">CY121US</t>
  </si>
  <si>
    <t xml:space="preserve">CY121US_1</t>
  </si>
  <si>
    <t xml:space="preserve">xad1244</t>
  </si>
  <si>
    <t xml:space="preserve">Nancys</t>
  </si>
  <si>
    <t xml:space="preserve">CY123DS</t>
  </si>
  <si>
    <t xml:space="preserve">BANANAS, OVERRIPE</t>
  </si>
  <si>
    <t xml:space="preserve">FOOD:100254</t>
  </si>
  <si>
    <t xml:space="preserve">Bananas, overripe, raw</t>
  </si>
  <si>
    <t xml:space="preserve">Musa acuminata</t>
  </si>
  <si>
    <t xml:space="preserve">Dwarf Cavendish</t>
  </si>
  <si>
    <t xml:space="preserve">NCBITaxon:4641</t>
  </si>
  <si>
    <t xml:space="preserve">raw</t>
  </si>
  <si>
    <t xml:space="preserve">overripe</t>
  </si>
  <si>
    <t xml:space="preserve">uncooked</t>
  </si>
  <si>
    <t xml:space="preserve">SLV</t>
  </si>
  <si>
    <t xml:space="preserve">HOUSTON </t>
  </si>
  <si>
    <t xml:space="preserve">Fruits and Fruit Juices</t>
  </si>
  <si>
    <t xml:space="preserve">FOOD:0900</t>
  </si>
  <si>
    <t xml:space="preserve">CY121US_2</t>
  </si>
  <si>
    <t xml:space="preserve">xad1245</t>
  </si>
  <si>
    <t xml:space="preserve">PT9 C1 481841</t>
  </si>
  <si>
    <t xml:space="preserve">Bananas were aquired at various ripeness states</t>
  </si>
  <si>
    <t xml:space="preserve">CY123DX</t>
  </si>
  <si>
    <t xml:space="preserve">BONITA</t>
  </si>
  <si>
    <t xml:space="preserve">VONS MARKET</t>
  </si>
  <si>
    <t xml:space="preserve">CY121US_3</t>
  </si>
  <si>
    <t xml:space="preserve">xad1246</t>
  </si>
  <si>
    <t xml:space="preserve">0942 J 06-2796</t>
  </si>
  <si>
    <t xml:space="preserve">CY123DK</t>
  </si>
  <si>
    <t xml:space="preserve">WALMART</t>
  </si>
  <si>
    <t xml:space="preserve">CY121US_4</t>
  </si>
  <si>
    <t xml:space="preserve">xad1247</t>
  </si>
  <si>
    <t xml:space="preserve">t94</t>
  </si>
  <si>
    <t xml:space="preserve">CY123DP</t>
  </si>
  <si>
    <t xml:space="preserve">ESTHERVILLE</t>
  </si>
  <si>
    <t xml:space="preserve">FAREWAY</t>
  </si>
  <si>
    <t xml:space="preserve">CY121US_5</t>
  </si>
  <si>
    <t xml:space="preserve">xad1248</t>
  </si>
  <si>
    <t xml:space="preserve">46-138 0121 092</t>
  </si>
  <si>
    <t xml:space="preserve">CY123DZ</t>
  </si>
  <si>
    <t xml:space="preserve">Bananas, ripe and slightly ripe, raw</t>
  </si>
  <si>
    <t xml:space="preserve">FOOD:9040</t>
  </si>
  <si>
    <t xml:space="preserve">slightly ripe</t>
  </si>
  <si>
    <t xml:space="preserve">HARRODSBURG</t>
  </si>
  <si>
    <t xml:space="preserve">CY121US_6</t>
  </si>
  <si>
    <t xml:space="preserve">xad1249</t>
  </si>
  <si>
    <t xml:space="preserve">AG1 21008</t>
  </si>
  <si>
    <t xml:space="preserve">CY123E0</t>
  </si>
  <si>
    <t xml:space="preserve">NEW BRUNSWICK</t>
  </si>
  <si>
    <t xml:space="preserve">CY121US_7</t>
  </si>
  <si>
    <t xml:space="preserve">xad1250</t>
  </si>
  <si>
    <t xml:space="preserve">CY123DL</t>
  </si>
  <si>
    <t xml:space="preserve">CY121US_8</t>
  </si>
  <si>
    <t xml:space="preserve">xad1251</t>
  </si>
  <si>
    <t xml:space="preserve">F3 PLT 06102041</t>
  </si>
  <si>
    <t xml:space="preserve">CY123DM</t>
  </si>
  <si>
    <t xml:space="preserve">APPLES, GRANNY SMITH</t>
  </si>
  <si>
    <t xml:space="preserve">FOOD:9502</t>
  </si>
  <si>
    <t xml:space="preserve">Apples, granny smith, with skin, raw</t>
  </si>
  <si>
    <t xml:space="preserve">Malus domestica</t>
  </si>
  <si>
    <t xml:space="preserve">Granny Smith</t>
  </si>
  <si>
    <t xml:space="preserve">NCBITaxon:3750</t>
  </si>
  <si>
    <t xml:space="preserve">PA</t>
  </si>
  <si>
    <t xml:space="preserve">grower</t>
  </si>
  <si>
    <t xml:space="preserve">CY121US_9</t>
  </si>
  <si>
    <t xml:space="preserve">xad1252</t>
  </si>
  <si>
    <t xml:space="preserve">3986 1932</t>
  </si>
  <si>
    <t xml:space="preserve">CY123E7</t>
  </si>
  <si>
    <t xml:space="preserve">IN</t>
  </si>
  <si>
    <t xml:space="preserve">CY121US_10</t>
  </si>
  <si>
    <t xml:space="preserve">xad1253</t>
  </si>
  <si>
    <t xml:space="preserve">CY123DU</t>
  </si>
  <si>
    <t xml:space="preserve">APPLES, GALA, WITH SKIN, RAW</t>
  </si>
  <si>
    <t xml:space="preserve">FOOD:9503</t>
  </si>
  <si>
    <t xml:space="preserve">Apples, gala, with skin, raw</t>
  </si>
  <si>
    <t xml:space="preserve">Gala</t>
  </si>
  <si>
    <t xml:space="preserve">GA</t>
  </si>
  <si>
    <t xml:space="preserve">Denise Trainer</t>
  </si>
  <si>
    <t xml:space="preserve">CY121US_11</t>
  </si>
  <si>
    <t xml:space="preserve">xad1254</t>
  </si>
  <si>
    <t xml:space="preserve">E0921</t>
  </si>
  <si>
    <t xml:space="preserve">CY123E6</t>
  </si>
  <si>
    <t xml:space="preserve">MN1711</t>
  </si>
  <si>
    <t xml:space="preserve">NFY121QIT</t>
  </si>
  <si>
    <t xml:space="preserve">ripe</t>
  </si>
  <si>
    <t xml:space="preserve">GRAPEVINE</t>
  </si>
  <si>
    <t xml:space="preserve">CY123E6_1</t>
  </si>
  <si>
    <t xml:space="preserve">xad1255</t>
  </si>
  <si>
    <t xml:space="preserve">124835F254</t>
  </si>
  <si>
    <t xml:space="preserve">CY123E4</t>
  </si>
  <si>
    <t xml:space="preserve">APPLES, HONEYCRISP</t>
  </si>
  <si>
    <t xml:space="preserve">FOOD:1079</t>
  </si>
  <si>
    <t xml:space="preserve">Apples, honeycrisp, with skin, raw</t>
  </si>
  <si>
    <t xml:space="preserve">LIVERMORE</t>
  </si>
  <si>
    <t xml:space="preserve">CY123E6_2</t>
  </si>
  <si>
    <t xml:space="preserve">xad1256</t>
  </si>
  <si>
    <t xml:space="preserve">L3PLT067071640</t>
  </si>
  <si>
    <t xml:space="preserve">CY123DY</t>
  </si>
  <si>
    <t xml:space="preserve">APPLES, HONEYCRISP, WITH SKIN, RAW</t>
  </si>
  <si>
    <t xml:space="preserve">NC</t>
  </si>
  <si>
    <t xml:space="preserve">CY123E6_3</t>
  </si>
  <si>
    <t xml:space="preserve">xad1257</t>
  </si>
  <si>
    <t xml:space="preserve">CY123E2</t>
  </si>
  <si>
    <t xml:space="preserve">MILK, 2% (WAVE 22E)</t>
  </si>
  <si>
    <t xml:space="preserve">Milk, reduced fat, fluid, 2% milkfat, with added vitamin A and vitamin D</t>
  </si>
  <si>
    <t xml:space="preserve">Bos taurus</t>
  </si>
  <si>
    <t xml:space="preserve">American Milking Devon</t>
  </si>
  <si>
    <t xml:space="preserve">NCBITaxon:9913</t>
  </si>
  <si>
    <t xml:space="preserve">pasteurized</t>
  </si>
  <si>
    <t xml:space="preserve">refrigerated</t>
  </si>
  <si>
    <t xml:space="preserve">FL</t>
  </si>
  <si>
    <t xml:space="preserve">Dairy and Egg Products</t>
  </si>
  <si>
    <t xml:space="preserve">FOOD:0100</t>
  </si>
  <si>
    <t xml:space="preserve">[REDUCED FAT MILK|LACTASE ENZYME|VITAMIN A|VITAMIN D|</t>
  </si>
  <si>
    <t xml:space="preserve">CY123E6_4</t>
  </si>
  <si>
    <t xml:space="preserve">xad1258</t>
  </si>
  <si>
    <t xml:space="preserve">SE GROCERS, 2% MILK</t>
  </si>
  <si>
    <t xml:space="preserve">CY123DW</t>
  </si>
  <si>
    <t xml:space="preserve">NY</t>
  </si>
  <si>
    <t xml:space="preserve">STOP AND SHOP</t>
  </si>
  <si>
    <t xml:space="preserve">CY123E6_5</t>
  </si>
  <si>
    <t xml:space="preserve">xad1259</t>
  </si>
  <si>
    <t xml:space="preserve">STOP AND SHOP 2% MILK</t>
  </si>
  <si>
    <t xml:space="preserve">CY123DO</t>
  </si>
  <si>
    <t xml:space="preserve">CO</t>
  </si>
  <si>
    <t xml:space="preserve">SAFEWAY</t>
  </si>
  <si>
    <t xml:space="preserve">CY123E6_6</t>
  </si>
  <si>
    <t xml:space="preserve">xad1260</t>
  </si>
  <si>
    <t xml:space="preserve">LUCERNE 2 % MILK</t>
  </si>
  <si>
    <t xml:space="preserve">810HB1507</t>
  </si>
  <si>
    <t xml:space="preserve">CY123E5</t>
  </si>
  <si>
    <t xml:space="preserve">TN</t>
  </si>
  <si>
    <t xml:space="preserve">TARGET</t>
  </si>
  <si>
    <t xml:space="preserve">CY123E6_7</t>
  </si>
  <si>
    <t xml:space="preserve">xad1261</t>
  </si>
  <si>
    <t xml:space="preserve">MARKET PANTRY 2% MILK</t>
  </si>
  <si>
    <t xml:space="preserve">111347125JG</t>
  </si>
  <si>
    <t xml:space="preserve">CY123DR</t>
  </si>
  <si>
    <t xml:space="preserve">ROANOKE RAPIDS</t>
  </si>
  <si>
    <t xml:space="preserve">FOOD LION</t>
  </si>
  <si>
    <t xml:space="preserve">CY123E6_8</t>
  </si>
  <si>
    <t xml:space="preserve">xad1262</t>
  </si>
  <si>
    <t xml:space="preserve">FOOD LION 2% MILK</t>
  </si>
  <si>
    <t xml:space="preserve">A1425 37102</t>
  </si>
  <si>
    <t xml:space="preserve">CY123E3</t>
  </si>
  <si>
    <t xml:space="preserve">TUCSON</t>
  </si>
  <si>
    <t xml:space="preserve">AZ</t>
  </si>
  <si>
    <t xml:space="preserve">BASHAS MARKET</t>
  </si>
  <si>
    <t xml:space="preserve">CY123E6_9</t>
  </si>
  <si>
    <t xml:space="preserve">xad1263</t>
  </si>
  <si>
    <t xml:space="preserve">t95</t>
  </si>
  <si>
    <t xml:space="preserve">BASHAS 2% MILK</t>
  </si>
  <si>
    <t xml:space="preserve">1638 TCRN</t>
  </si>
  <si>
    <t xml:space="preserve">CY123DN</t>
  </si>
  <si>
    <t xml:space="preserve">CHICAGO</t>
  </si>
  <si>
    <t xml:space="preserve">IL</t>
  </si>
  <si>
    <t xml:space="preserve">JEWEL</t>
  </si>
  <si>
    <t xml:space="preserve">CY123E6_10</t>
  </si>
  <si>
    <t xml:space="preserve">xad1264</t>
  </si>
  <si>
    <t xml:space="preserve">DEANS 2% DAIRY PURE</t>
  </si>
  <si>
    <t xml:space="preserve">CY123DV</t>
  </si>
  <si>
    <t xml:space="preserve">SEATTLE</t>
  </si>
  <si>
    <t xml:space="preserve">WA</t>
  </si>
  <si>
    <t xml:space="preserve">QFC</t>
  </si>
  <si>
    <t xml:space="preserve">CY123E6_11</t>
  </si>
  <si>
    <t xml:space="preserve">xad1265</t>
  </si>
  <si>
    <t xml:space="preserve">QFC 2% MILK</t>
  </si>
  <si>
    <t xml:space="preserve">41452146C2</t>
  </si>
  <si>
    <t xml:space="preserve">CY123DQ</t>
  </si>
  <si>
    <t xml:space="preserve">READING</t>
  </si>
  <si>
    <t xml:space="preserve">MA</t>
  </si>
  <si>
    <t xml:space="preserve">CY123E6_12</t>
  </si>
  <si>
    <t xml:space="preserve">xad1266</t>
  </si>
  <si>
    <t xml:space="preserve">HOOD 2% MILK</t>
  </si>
  <si>
    <t xml:space="preserve">CY123DT</t>
  </si>
  <si>
    <t xml:space="preserve">MINNEAPOLIS</t>
  </si>
  <si>
    <t xml:space="preserve">MN</t>
  </si>
  <si>
    <t xml:space="preserve">CUB FOODS</t>
  </si>
  <si>
    <t xml:space="preserve">CY123E6_13</t>
  </si>
  <si>
    <t xml:space="preserve">xad1267</t>
  </si>
  <si>
    <t xml:space="preserve">KEMPS SELECT 2% MILK</t>
  </si>
  <si>
    <t xml:space="preserve">ER37-R-An13</t>
  </si>
  <si>
    <t xml:space="preserve">Beef, ground, grass-fed, 90% lean, 10% fat, raw</t>
  </si>
  <si>
    <t xml:space="preserve">FOOD:23562</t>
  </si>
  <si>
    <t xml:space="preserve">Beef, ground, 90% lean meat / 10% fat, raw</t>
  </si>
  <si>
    <t xml:space="preserve">Aberdeen Angus</t>
  </si>
  <si>
    <t xml:space="preserve">frozen</t>
  </si>
  <si>
    <t xml:space="preserve">CAN</t>
  </si>
  <si>
    <t xml:space="preserve">COMMERCE</t>
  </si>
  <si>
    <t xml:space="preserve">MI</t>
  </si>
  <si>
    <t xml:space="preserve">distributor</t>
  </si>
  <si>
    <t xml:space="preserve">Tina Turner</t>
  </si>
  <si>
    <t xml:space="preserve">Topeka</t>
  </si>
  <si>
    <t xml:space="preserve">Kansas</t>
  </si>
  <si>
    <t xml:space="preserve">Beef Products</t>
  </si>
  <si>
    <t xml:space="preserve">[Beef ground|salt]</t>
  </si>
  <si>
    <t xml:space="preserve">ER37-R-5-A3</t>
  </si>
  <si>
    <t xml:space="preserve">NDA1268</t>
  </si>
  <si>
    <t xml:space="preserve">Select</t>
  </si>
  <si>
    <t xml:space="preserve">JPR26784</t>
  </si>
  <si>
    <t xml:space="preserve">ER37-R-5-Anml</t>
  </si>
  <si>
    <t xml:space="preserve">Beef, eye of round roast, raw (ER37-R-5)</t>
  </si>
  <si>
    <t xml:space="preserve">FOOD:23362</t>
  </si>
  <si>
    <t xml:space="preserve">Beef, round, eye of round roast, boneless, separable lean only, trimmed to 0" fat, select, raw</t>
  </si>
  <si>
    <t xml:space="preserve">Green Bay</t>
  </si>
  <si>
    <t xml:space="preserve">WI</t>
  </si>
  <si>
    <t xml:space="preserve">FOOD:1300</t>
  </si>
  <si>
    <t xml:space="preserve">[Beef eye of round roast|salt|water]</t>
  </si>
  <si>
    <t xml:space="preserve">ER37-R-5-A1</t>
  </si>
  <si>
    <t xml:space="preserve">NDA1269</t>
  </si>
  <si>
    <t xml:space="preserve">ER37-R-Comp13</t>
  </si>
  <si>
    <t xml:space="preserve">Beef, eye of round roast, raw (ER37-R-10)</t>
  </si>
  <si>
    <t xml:space="preserve">New York</t>
  </si>
  <si>
    <t xml:space="preserve">ER37-R-5-A2</t>
  </si>
  <si>
    <t xml:space="preserve">NDA1270</t>
  </si>
  <si>
    <t xml:space="preserve">These beef samples were taken from a market and analyzed as a duplicate in mutiple passes </t>
  </si>
  <si>
    <t xml:space="preserve">component_sample_id</t>
  </si>
  <si>
    <t xml:space="preserve">component_type</t>
  </si>
  <si>
    <t xml:space="preserve">component_description_label</t>
  </si>
  <si>
    <t xml:space="preserve">component_recorded_value</t>
  </si>
  <si>
    <t xml:space="preserve">component_measurement_unit</t>
  </si>
  <si>
    <t xml:space="preserve">component_data_points_number</t>
  </si>
  <si>
    <t xml:space="preserve">component_record_date</t>
  </si>
  <si>
    <t xml:space="preserve">component_analysis_date</t>
  </si>
  <si>
    <t xml:space="preserve">component_analysis_organization</t>
  </si>
  <si>
    <t xml:space="preserve">component_comment</t>
  </si>
  <si>
    <t xml:space="preserve">component_derivation_type</t>
  </si>
  <si>
    <t xml:space="preserve">component_limit_of_quantitation</t>
  </si>
  <si>
    <t xml:space="preserve">component_limit_of_blank</t>
  </si>
  <si>
    <t xml:space="preserve">component_limit_of_detection</t>
  </si>
  <si>
    <t xml:space="preserve">component_method_detection_limit</t>
  </si>
  <si>
    <t xml:space="preserve">compound_trace_analysis_boolean</t>
  </si>
  <si>
    <t xml:space="preserve">compound_sample_aggregation_minimum_value</t>
  </si>
  <si>
    <t xml:space="preserve">compound_sample_aggregation_maximum_value</t>
  </si>
  <si>
    <t xml:space="preserve">compound_sample_aggregation_median_value</t>
  </si>
  <si>
    <t xml:space="preserve">compound_sample_aggregation_standard_deviation</t>
  </si>
  <si>
    <t xml:space="preserve">compound_analytical_measurement_protocol_url</t>
  </si>
  <si>
    <t xml:space="preserve">compound_analytical_measurement_method</t>
  </si>
  <si>
    <t xml:space="preserve">compound_analytical_laboratory_name</t>
  </si>
  <si>
    <t xml:space="preserve">component_quality_control_remeasurement</t>
  </si>
  <si>
    <t xml:space="preserve">compound_individual_sample_id_list</t>
  </si>
  <si>
    <t xml:space="preserve">component_atwater_protein_conversion_factor</t>
  </si>
  <si>
    <t xml:space="preserve">component_atwater_fat_conversion_factor</t>
  </si>
  <si>
    <t xml:space="preserve">component_atwater_carbohydrate_conversion_factor</t>
  </si>
  <si>
    <t xml:space="preserve">component_protein_from_nitrogen_conversion_factor</t>
  </si>
  <si>
    <t xml:space="preserve">CY232XY</t>
  </si>
  <si>
    <t xml:space="preserve">COMPONENT:2048</t>
  </si>
  <si>
    <t xml:space="preserve">Energy (Atwater Specific Factors)</t>
  </si>
  <si>
    <t xml:space="preserve">kcal/(100.g)</t>
  </si>
  <si>
    <t xml:space="preserve">USDA</t>
  </si>
  <si>
    <t xml:space="preserve">Calculated</t>
  </si>
  <si>
    <t xml:space="preserve">https://doi.org/10.1093/9780197610145.003.1396|https://doi.org/10.1093/9780197610145.003.3446</t>
  </si>
  <si>
    <t xml:space="preserve">Combustion</t>
  </si>
  <si>
    <t xml:space="preserve">COMPONENT:2047</t>
  </si>
  <si>
    <t xml:space="preserve">Energy (Atwater General Factors)</t>
  </si>
  <si>
    <t xml:space="preserve">COMPONENT:1051</t>
  </si>
  <si>
    <t xml:space="preserve">Water</t>
  </si>
  <si>
    <t xml:space="preserve">g/(100.g)</t>
  </si>
  <si>
    <t xml:space="preserve">Virginia Tech</t>
  </si>
  <si>
    <t xml:space="preserve">All samples were centrifuged at at 820 ×g for 10 min prior to digestion.</t>
  </si>
  <si>
    <t xml:space="preserve">Analytical</t>
  </si>
  <si>
    <t xml:space="preserve">&lt;0.25</t>
  </si>
  <si>
    <t xml:space="preserve">&lt;0.34</t>
  </si>
  <si>
    <t xml:space="preserve">https://doi.org/10.1093/9780197610145.003.3363</t>
  </si>
  <si>
    <t xml:space="preserve">Vacuum oven</t>
  </si>
  <si>
    <t xml:space="preserve">Virginia Tech Department of Biochemistry Phillips Lab</t>
  </si>
  <si>
    <t xml:space="preserve">COMPONENT:1002</t>
  </si>
  <si>
    <t xml:space="preserve">Nitrogen</t>
  </si>
  <si>
    <t xml:space="preserve">https://doi.org/10.1093/9780197610145.003.1396</t>
  </si>
  <si>
    <t xml:space="preserve">COMPONENT:1004</t>
  </si>
  <si>
    <t xml:space="preserve">Total lipid (fat)</t>
  </si>
  <si>
    <t xml:space="preserve">&lt;0.033</t>
  </si>
  <si>
    <t xml:space="preserve">&lt;0.33</t>
  </si>
  <si>
    <t xml:space="preserve">https://doi.org/10.1093/9780197610145.003.2938</t>
  </si>
  <si>
    <t xml:space="preserve">Acid hydrolysis</t>
  </si>
  <si>
    <t xml:space="preserve">COMPONENT:1007</t>
  </si>
  <si>
    <t xml:space="preserve">Ash</t>
  </si>
  <si>
    <t xml:space="preserve">https://doi.org/10.1093/9780197610145.003.2929</t>
  </si>
  <si>
    <t xml:space="preserve">Gravimetric</t>
  </si>
  <si>
    <t xml:space="preserve">[CY123W2|CY123W3|CY123W7|CY123W4|CY123W6]</t>
  </si>
  <si>
    <t xml:space="preserve">COMPONENT:1091</t>
  </si>
  <si>
    <t xml:space="preserve">Phosphorus, P</t>
  </si>
  <si>
    <t xml:space="preserve">mg/(100.g)</t>
  </si>
  <si>
    <t xml:space="preserve">&lt;0.28</t>
  </si>
  <si>
    <t xml:space="preserve">https://doi.org/10.1093/9780197610145.003.1316</t>
  </si>
  <si>
    <t xml:space="preserve">ICP</t>
  </si>
  <si>
    <t xml:space="preserve">COMPONENT:1101</t>
  </si>
  <si>
    <t xml:space="preserve">Manganese, Mn</t>
  </si>
  <si>
    <t xml:space="preserve">COMPONENT:1092</t>
  </si>
  <si>
    <t xml:space="preserve">Potassium, K</t>
  </si>
  <si>
    <t xml:space="preserve">[CY123W2|CY123W3|CY123W7|CY123W5|CY123W4|CY123W6]</t>
  </si>
  <si>
    <t xml:space="preserve">COMPONENT:1087</t>
  </si>
  <si>
    <t xml:space="preserve">Calcium, Ca</t>
  </si>
  <si>
    <t xml:space="preserve">&lt;0.26</t>
  </si>
  <si>
    <t xml:space="preserve">COMPONENT:1093</t>
  </si>
  <si>
    <t xml:space="preserve">Sodium, Na</t>
  </si>
  <si>
    <t xml:space="preserve">COMPONENT:1090</t>
  </si>
  <si>
    <t xml:space="preserve">Magnesium, Mg</t>
  </si>
  <si>
    <t xml:space="preserve">COMPONENT:1089</t>
  </si>
  <si>
    <t xml:space="preserve">Iron, Fe</t>
  </si>
  <si>
    <t xml:space="preserve">COMPONENT:1098</t>
  </si>
  <si>
    <t xml:space="preserve">Copper, Cu</t>
  </si>
  <si>
    <t xml:space="preserve">COMPONENT:1095</t>
  </si>
  <si>
    <t xml:space="preserve">Zinc, Zn</t>
  </si>
  <si>
    <t xml:space="preserve">COMPONENT:1170</t>
  </si>
  <si>
    <t xml:space="preserve">Pantothenic acid</t>
  </si>
  <si>
    <t xml:space="preserve">https://doi.org/10.1093/9780197610145.003.3777</t>
  </si>
  <si>
    <t xml:space="preserve">Microbiological</t>
  </si>
  <si>
    <t xml:space="preserve">&lt;0.035</t>
  </si>
  <si>
    <t xml:space="preserve">&lt;0.038</t>
  </si>
  <si>
    <t xml:space="preserve">[CY123B2|CY135V7|CY123W5|CY125W8|CY123W6|CY134H4|CW123W5|CY125V7|CY125W8|CY133W6|CB123W6|CY130H8]</t>
  </si>
  <si>
    <t xml:space="preserve">[CY133B2|CY115V7|CY123W5|CY125W8|CY123W6|CY123W4]</t>
  </si>
  <si>
    <t xml:space="preserve">[CY153W2|CY123W3|CY123W7|CY123W5|CY123W4|CY123W6|CY123W5|CY123W2|CY435B7|CY123W5|CY1251C3|CY123W2|CY123W5CY1251C3|CY235B7|CY123W6]</t>
  </si>
  <si>
    <t xml:space="preserve">[CY163W2|CY32B7|CY435B7|CY1251C3]</t>
  </si>
  <si>
    <t xml:space="preserve">[CY123W3|CY123W7|CY123W5|CY434Y2|CY123W4|CY123W6|CY123W9|CY123W5|CY123W2|CY435B7|CY123W5|CY1251C3|CY123W2|CY123W9|CY123W5|CY1251C3|CY235B7|CY123W6]</t>
  </si>
  <si>
    <t xml:space="preserve">[CY183W2|CY132W5|CY1251C3|CY235B7|CY123W6|CY123Y2|CY142B7|CY123W4|CY123W6]</t>
  </si>
  <si>
    <t xml:space="preserve">[CY123W2|CY133W5|CY435B7|CY123W5|CY1251C3|CY432W8|CY431U1]</t>
  </si>
  <si>
    <t xml:space="preserve">[CY122W5|CY123W4|CY123W6|CY123W5|CY123W2|CY435B7|CY123W5|CY1251C3|CY123W2|CY123W5|CY1251C3|CY235B7|CY123W6]</t>
  </si>
  <si>
    <t xml:space="preserve">&lt;0.0284</t>
  </si>
  <si>
    <t xml:space="preserve">&lt;0.0834</t>
  </si>
  <si>
    <t xml:space="preserve">&lt;0.0923</t>
  </si>
  <si>
    <t xml:space="preserve">resource_dataset_label</t>
  </si>
  <si>
    <t xml:space="preserve">resource_dataset_version_number</t>
  </si>
  <si>
    <t xml:space="preserve">resource_mifc_version_tag</t>
  </si>
  <si>
    <t xml:space="preserve">resource_contributor_orcid</t>
  </si>
  <si>
    <t xml:space="preserve">resource_organization_name</t>
  </si>
  <si>
    <t xml:space="preserve">Standard Reference (SR) Legacy</t>
  </si>
  <si>
    <t xml:space="preserve">v1.0.0</t>
  </si>
  <si>
    <t xml:space="preserve">[https://orcid.org/0000-0003-0857-700X|https://orcid.org/0000-0002-3410-4655]</t>
  </si>
  <si>
    <t xml:space="preserve">[USDA Food for Health of People and the Environment Laboratory|FDA]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</si>
</sst>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d/mm/yyyy"/>
    <numFmt numFmtId="167" formatCode="&quot;TRUE&quot;;&quot;TRUE&quot;;&quot;FALSE&quot;"/>
    <numFmt numFmtId="168" formatCode="0.0"/>
  </numFmts>
  <fonts count="10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2"/>
      <charset val="1"/>
    </font>
    <font>
      <b val="true"/>
      <sz val="12"/>
      <color theme="1"/>
      <name val="Aptos Narrow"/>
      <family val="0"/>
      <charset val="1"/>
    </font>
    <font>
      <sz val="12"/>
      <color rgb="FF000000"/>
      <name val="Aptos Narrow"/>
      <family val="2"/>
      <charset val="1"/>
    </font>
    <font>
      <sz val="12"/>
      <color rgb="FF000000"/>
      <name val="Aptos Narrow"/>
      <family val="0"/>
      <charset val="1"/>
    </font>
    <font>
      <b val="true"/>
      <sz val="12"/>
      <color rgb="FF000000"/>
      <name val="Aptos Narrow"/>
      <family val="0"/>
      <charset val="1"/>
    </font>
    <font>
      <vertAlign val="superscript"/>
      <sz val="12"/>
      <color rgb="FF000000"/>
      <name val="Aptos Narro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9.58203125" defaultRowHeight="12.75" customHeight="true" zeroHeight="false" outlineLevelRow="0" outlineLevelCol="0"/>
  <cols>
    <col collapsed="false" customWidth="true" hidden="false" outlineLevel="0" max="1" min="1" style="1" width="124.71"/>
  </cols>
  <sheetData>
    <row r="1" s="3" customFormat="true" ht="34.75" hidden="false" customHeight="true" outlineLevel="0" collapsed="false">
      <c r="A1" s="2" t="s">
        <v>0</v>
      </c>
    </row>
    <row r="2" s="3" customFormat="true" ht="50.25" hidden="false" customHeight="true" outlineLevel="0" collapsed="false">
      <c r="A2" s="4" t="s">
        <v>1</v>
      </c>
    </row>
    <row r="3" s="3" customFormat="true" ht="30" hidden="false" customHeight="true" outlineLevel="0" collapsed="false">
      <c r="A3" s="5" t="s">
        <v>2</v>
      </c>
    </row>
    <row r="4" s="3" customFormat="true" ht="21" hidden="false" customHeight="true" outlineLevel="0" collapsed="false">
      <c r="A4" s="6" t="s">
        <v>3</v>
      </c>
    </row>
    <row r="5" s="3" customFormat="true" ht="25.5" hidden="false" customHeight="true" outlineLevel="0" collapsed="false">
      <c r="A5" s="6" t="s">
        <v>4</v>
      </c>
    </row>
    <row r="6" s="3" customFormat="true" ht="24.75" hidden="false" customHeight="true" outlineLevel="0" collapsed="false">
      <c r="A6" s="6" t="s">
        <v>5</v>
      </c>
    </row>
    <row r="7" s="3" customFormat="true" ht="29.4" hidden="false" customHeight="true" outlineLevel="0" collapsed="false">
      <c r="A7" s="2" t="s">
        <v>6</v>
      </c>
    </row>
    <row r="8" s="3" customFormat="true" ht="26.25" hidden="false" customHeight="true" outlineLevel="0" collapsed="false">
      <c r="A8" s="7" t="s">
        <v>7</v>
      </c>
    </row>
    <row r="9" s="3" customFormat="true" ht="28.5" hidden="false" customHeight="true" outlineLevel="0" collapsed="false">
      <c r="A9" s="8" t="s">
        <v>8</v>
      </c>
    </row>
    <row r="10" s="3" customFormat="true" ht="32.75" hidden="false" customHeight="true" outlineLevel="0" collapsed="false">
      <c r="A10" s="5" t="s">
        <v>9</v>
      </c>
    </row>
    <row r="11" s="3" customFormat="true" ht="46.1" hidden="false" customHeight="true" outlineLevel="0" collapsed="false">
      <c r="A11" s="5" t="s">
        <v>10</v>
      </c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L1" activeCellId="0" sqref="L1"/>
    </sheetView>
  </sheetViews>
  <sheetFormatPr defaultColWidth="10.6640625" defaultRowHeight="15.75" customHeight="true" zeroHeight="false" outlineLevelRow="0" outlineLevelCol="0"/>
  <cols>
    <col collapsed="false" customWidth="true" hidden="false" outlineLevel="0" max="1" min="1" style="1" width="14.66"/>
    <col collapsed="false" customWidth="true" hidden="false" outlineLevel="0" max="2" min="2" style="1" width="37.66"/>
    <col collapsed="false" customWidth="true" hidden="false" outlineLevel="0" max="3" min="3" style="1" width="17.92"/>
    <col collapsed="false" customWidth="true" hidden="false" outlineLevel="0" max="4" min="4" style="1" width="27.83"/>
    <col collapsed="false" customWidth="true" hidden="false" outlineLevel="0" max="5" min="5" style="1" width="62.66"/>
    <col collapsed="false" customWidth="true" hidden="false" outlineLevel="0" max="6" min="6" style="1" width="32.84"/>
    <col collapsed="false" customWidth="true" hidden="false" outlineLevel="0" max="7" min="7" style="1" width="31.33"/>
    <col collapsed="false" customWidth="true" hidden="false" outlineLevel="0" max="8" min="8" style="1" width="36.58"/>
    <col collapsed="false" customWidth="true" hidden="false" outlineLevel="0" max="9" min="9" style="1" width="27.92"/>
    <col collapsed="false" customWidth="true" hidden="false" outlineLevel="0" max="10" min="10" style="1" width="13.08"/>
    <col collapsed="false" customWidth="true" hidden="false" outlineLevel="0" max="11" min="11" style="1" width="22"/>
    <col collapsed="false" customWidth="true" hidden="false" outlineLevel="0" max="12" min="12" style="1" width="30.17"/>
    <col collapsed="false" customWidth="true" hidden="false" outlineLevel="0" max="13" min="13" style="1" width="19.49"/>
    <col collapsed="false" customWidth="true" hidden="false" outlineLevel="0" max="14" min="14" style="1" width="21.42"/>
    <col collapsed="false" customWidth="true" hidden="false" outlineLevel="0" max="15" min="15" style="1" width="18.58"/>
    <col collapsed="false" customWidth="true" hidden="false" outlineLevel="0" max="16" min="16" style="1" width="19.66"/>
    <col collapsed="false" customWidth="true" hidden="false" outlineLevel="0" max="17" min="17" style="1" width="24.25"/>
    <col collapsed="false" customWidth="true" hidden="false" outlineLevel="0" max="18" min="18" style="1" width="32"/>
    <col collapsed="false" customWidth="true" hidden="false" outlineLevel="0" max="19" min="19" style="1" width="21.29"/>
    <col collapsed="false" customWidth="true" hidden="false" outlineLevel="0" max="20" min="20" style="1" width="21.16"/>
    <col collapsed="false" customWidth="true" hidden="false" outlineLevel="0" max="21" min="21" style="1" width="29.52"/>
    <col collapsed="false" customWidth="true" hidden="false" outlineLevel="0" max="22" min="22" style="1" width="30.42"/>
    <col collapsed="false" customWidth="true" hidden="false" outlineLevel="0" max="25" min="23" style="1" width="17"/>
    <col collapsed="false" customWidth="true" hidden="false" outlineLevel="0" max="26" min="26" style="1" width="28.17"/>
    <col collapsed="false" customWidth="true" hidden="false" outlineLevel="0" max="29" min="27" style="1" width="17"/>
    <col collapsed="false" customWidth="true" hidden="false" outlineLevel="0" max="30" min="30" style="1" width="18.33"/>
    <col collapsed="false" customWidth="true" hidden="false" outlineLevel="0" max="32" min="31" style="1" width="17"/>
    <col collapsed="false" customWidth="true" hidden="false" outlineLevel="0" max="33" min="33" style="1" width="25.84"/>
    <col collapsed="false" customWidth="true" hidden="false" outlineLevel="0" max="34" min="34" style="1" width="17"/>
    <col collapsed="false" customWidth="true" hidden="false" outlineLevel="0" max="38" min="35" style="1" width="25.84"/>
    <col collapsed="false" customWidth="true" hidden="false" outlineLevel="0" max="39" min="39" style="1" width="27.83"/>
    <col collapsed="false" customWidth="true" hidden="false" outlineLevel="0" max="40" min="40" style="1" width="27"/>
    <col collapsed="false" customWidth="true" hidden="false" outlineLevel="0" max="41" min="41" style="1" width="25.84"/>
    <col collapsed="false" customWidth="true" hidden="false" outlineLevel="0" max="42" min="42" style="1" width="27.75"/>
    <col collapsed="false" customWidth="true" hidden="false" outlineLevel="0" max="43" min="43" style="1" width="28.75"/>
    <col collapsed="false" customWidth="true" hidden="false" outlineLevel="0" max="44" min="44" style="1" width="27.75"/>
    <col collapsed="false" customWidth="true" hidden="false" outlineLevel="0" max="49" min="45" style="1" width="25.84"/>
    <col collapsed="false" customWidth="true" hidden="false" outlineLevel="0" max="50" min="50" style="1" width="25.33"/>
    <col collapsed="false" customWidth="true" hidden="false" outlineLevel="0" max="51" min="51" style="1" width="27.83"/>
    <col collapsed="false" customWidth="true" hidden="false" outlineLevel="0" max="52" min="52" style="1" width="26.83"/>
    <col collapsed="false" customWidth="true" hidden="false" outlineLevel="0" max="53" min="53" style="1" width="27"/>
    <col collapsed="false" customWidth="true" hidden="false" outlineLevel="0" max="54" min="54" style="1" width="15.5"/>
    <col collapsed="false" customWidth="true" hidden="false" outlineLevel="0" max="55" min="55" style="1" width="27.83"/>
    <col collapsed="false" customWidth="true" hidden="false" outlineLevel="0" max="56" min="56" style="1" width="22.33"/>
  </cols>
  <sheetData>
    <row r="1" s="12" customFormat="true" ht="34.5" hidden="false" customHeight="true" outlineLevel="0" collapsed="false">
      <c r="A1" s="9" t="s">
        <v>11</v>
      </c>
      <c r="B1" s="9" t="s">
        <v>12</v>
      </c>
      <c r="C1" s="10" t="s">
        <v>13</v>
      </c>
      <c r="D1" s="10" t="s">
        <v>14</v>
      </c>
      <c r="E1" s="10" t="s">
        <v>15</v>
      </c>
      <c r="F1" s="11" t="s">
        <v>16</v>
      </c>
      <c r="G1" s="11" t="s">
        <v>17</v>
      </c>
      <c r="H1" s="11" t="s">
        <v>18</v>
      </c>
      <c r="I1" s="11" t="s">
        <v>19</v>
      </c>
      <c r="J1" s="11" t="s">
        <v>20</v>
      </c>
      <c r="K1" s="10" t="s">
        <v>21</v>
      </c>
      <c r="L1" s="10" t="s">
        <v>22</v>
      </c>
      <c r="M1" s="11" t="s">
        <v>23</v>
      </c>
      <c r="N1" s="10" t="s">
        <v>24</v>
      </c>
      <c r="O1" s="11" t="s">
        <v>25</v>
      </c>
      <c r="P1" s="11" t="s">
        <v>26</v>
      </c>
      <c r="Q1" s="10" t="s">
        <v>27</v>
      </c>
      <c r="R1" s="11" t="s">
        <v>28</v>
      </c>
      <c r="S1" s="10" t="s">
        <v>29</v>
      </c>
      <c r="T1" s="11" t="s">
        <v>30</v>
      </c>
      <c r="U1" s="10" t="s">
        <v>31</v>
      </c>
      <c r="V1" s="11" t="s">
        <v>32</v>
      </c>
      <c r="W1" s="11" t="s">
        <v>33</v>
      </c>
      <c r="X1" s="11" t="s">
        <v>34</v>
      </c>
      <c r="Y1" s="11" t="s">
        <v>35</v>
      </c>
      <c r="Z1" s="11" t="s">
        <v>36</v>
      </c>
      <c r="AA1" s="11" t="s">
        <v>37</v>
      </c>
      <c r="AB1" s="11" t="s">
        <v>38</v>
      </c>
      <c r="AC1" s="11" t="s">
        <v>39</v>
      </c>
      <c r="AD1" s="11" t="s">
        <v>40</v>
      </c>
      <c r="AE1" s="11" t="s">
        <v>41</v>
      </c>
      <c r="AF1" s="11" t="s">
        <v>42</v>
      </c>
      <c r="AG1" s="11" t="s">
        <v>43</v>
      </c>
      <c r="AH1" s="11" t="s">
        <v>44</v>
      </c>
      <c r="AI1" s="11" t="s">
        <v>45</v>
      </c>
      <c r="AJ1" s="11" t="s">
        <v>46</v>
      </c>
      <c r="AK1" s="11" t="s">
        <v>47</v>
      </c>
      <c r="AL1" s="11" t="s">
        <v>48</v>
      </c>
      <c r="AM1" s="11" t="s">
        <v>49</v>
      </c>
      <c r="AN1" s="11" t="s">
        <v>50</v>
      </c>
      <c r="AO1" s="11" t="s">
        <v>51</v>
      </c>
      <c r="AP1" s="11" t="s">
        <v>52</v>
      </c>
      <c r="AQ1" s="11" t="s">
        <v>53</v>
      </c>
      <c r="AR1" s="11" t="s">
        <v>54</v>
      </c>
      <c r="AS1" s="11" t="s">
        <v>55</v>
      </c>
      <c r="AT1" s="11" t="s">
        <v>56</v>
      </c>
      <c r="AU1" s="11" t="s">
        <v>57</v>
      </c>
      <c r="AV1" s="11" t="s">
        <v>58</v>
      </c>
      <c r="AX1" s="13"/>
      <c r="AY1" s="13"/>
      <c r="AZ1" s="13"/>
      <c r="BA1" s="13"/>
      <c r="BC1" s="13"/>
      <c r="BD1" s="13"/>
      <c r="XFA1" s="1"/>
      <c r="XFB1" s="1"/>
      <c r="XFC1" s="1"/>
      <c r="XFD1" s="1"/>
    </row>
    <row r="2" customFormat="false" ht="15.75" hidden="false" customHeight="false" outlineLevel="0" collapsed="false">
      <c r="A2" s="14" t="s">
        <v>59</v>
      </c>
      <c r="B2" s="14" t="s">
        <v>60</v>
      </c>
      <c r="C2" s="15" t="s">
        <v>61</v>
      </c>
      <c r="D2" s="15" t="s">
        <v>62</v>
      </c>
      <c r="E2" s="15" t="s">
        <v>63</v>
      </c>
      <c r="F2" s="16" t="s">
        <v>64</v>
      </c>
      <c r="G2" s="16"/>
      <c r="H2" s="16"/>
      <c r="I2" s="16" t="s">
        <v>65</v>
      </c>
      <c r="J2" s="17" t="n">
        <v>40822011143</v>
      </c>
      <c r="K2" s="15" t="s">
        <v>66</v>
      </c>
      <c r="L2" s="15" t="s">
        <v>67</v>
      </c>
      <c r="M2" s="16"/>
      <c r="N2" s="15" t="s">
        <v>68</v>
      </c>
      <c r="O2" s="16" t="s">
        <v>69</v>
      </c>
      <c r="P2" s="16" t="s">
        <v>70</v>
      </c>
      <c r="Q2" s="15" t="s">
        <v>69</v>
      </c>
      <c r="R2" s="16" t="s">
        <v>71</v>
      </c>
      <c r="S2" s="18" t="n">
        <v>42283</v>
      </c>
      <c r="T2" s="16" t="n">
        <v>2015</v>
      </c>
      <c r="U2" s="15" t="s">
        <v>72</v>
      </c>
      <c r="V2" s="16" t="s">
        <v>73</v>
      </c>
      <c r="W2" s="16" t="n">
        <v>41.50431</v>
      </c>
      <c r="X2" s="19" t="n">
        <v>-81.68129</v>
      </c>
      <c r="Y2" s="20" t="s">
        <v>74</v>
      </c>
      <c r="Z2" s="20" t="s">
        <v>75</v>
      </c>
      <c r="AA2" s="16" t="s">
        <v>76</v>
      </c>
      <c r="AB2" s="20" t="s">
        <v>69</v>
      </c>
      <c r="AC2" s="16" t="s">
        <v>77</v>
      </c>
      <c r="AD2" s="20" t="n">
        <v>42317</v>
      </c>
      <c r="AE2" s="20" t="n">
        <v>42136</v>
      </c>
      <c r="AF2" s="20" t="n">
        <v>42360</v>
      </c>
      <c r="AG2" s="16" t="s">
        <v>78</v>
      </c>
      <c r="AH2" s="16" t="s">
        <v>79</v>
      </c>
      <c r="AI2" s="16" t="s">
        <v>80</v>
      </c>
      <c r="AJ2" s="16" t="s">
        <v>81</v>
      </c>
      <c r="AK2" s="16" t="s">
        <v>82</v>
      </c>
      <c r="AL2" s="16" t="s">
        <v>83</v>
      </c>
      <c r="AM2" s="16" t="s">
        <v>84</v>
      </c>
      <c r="AN2" s="16" t="n">
        <v>0.988194444444445</v>
      </c>
      <c r="AO2" s="16" t="n">
        <v>12</v>
      </c>
      <c r="AP2" s="16" t="s">
        <v>85</v>
      </c>
      <c r="AQ2" s="20" t="n">
        <v>43556</v>
      </c>
      <c r="AR2" s="16" t="s">
        <v>86</v>
      </c>
      <c r="AS2" s="16" t="n">
        <v>12</v>
      </c>
      <c r="AT2" s="16" t="s">
        <v>87</v>
      </c>
      <c r="AU2" s="16" t="n">
        <v>0.22</v>
      </c>
      <c r="AV2" s="16" t="s">
        <v>87</v>
      </c>
    </row>
    <row r="3" customFormat="false" ht="15.75" hidden="false" customHeight="false" outlineLevel="0" collapsed="false">
      <c r="A3" s="14" t="s">
        <v>88</v>
      </c>
      <c r="B3" s="14" t="s">
        <v>60</v>
      </c>
      <c r="C3" s="15" t="s">
        <v>61</v>
      </c>
      <c r="D3" s="15" t="s">
        <v>62</v>
      </c>
      <c r="E3" s="15" t="s">
        <v>63</v>
      </c>
      <c r="F3" s="16" t="s">
        <v>64</v>
      </c>
      <c r="G3" s="16"/>
      <c r="H3" s="16"/>
      <c r="I3" s="16" t="s">
        <v>65</v>
      </c>
      <c r="J3" s="17" t="n">
        <v>40822011143</v>
      </c>
      <c r="K3" s="15" t="s">
        <v>66</v>
      </c>
      <c r="L3" s="15" t="s">
        <v>67</v>
      </c>
      <c r="M3" s="16"/>
      <c r="N3" s="15" t="s">
        <v>68</v>
      </c>
      <c r="O3" s="16" t="s">
        <v>69</v>
      </c>
      <c r="P3" s="16" t="s">
        <v>89</v>
      </c>
      <c r="Q3" s="15" t="s">
        <v>69</v>
      </c>
      <c r="R3" s="16" t="s">
        <v>90</v>
      </c>
      <c r="S3" s="18" t="n">
        <v>42274</v>
      </c>
      <c r="T3" s="16" t="n">
        <v>2015</v>
      </c>
      <c r="U3" s="15" t="s">
        <v>72</v>
      </c>
      <c r="V3" s="16" t="s">
        <v>91</v>
      </c>
      <c r="W3" s="16" t="n">
        <v>41.50555</v>
      </c>
      <c r="X3" s="19" t="n">
        <v>-81.68129</v>
      </c>
      <c r="Y3" s="20" t="s">
        <v>74</v>
      </c>
      <c r="Z3" s="20" t="s">
        <v>75</v>
      </c>
      <c r="AA3" s="16" t="s">
        <v>76</v>
      </c>
      <c r="AB3" s="20" t="s">
        <v>69</v>
      </c>
      <c r="AC3" s="16" t="s">
        <v>77</v>
      </c>
      <c r="AD3" s="20" t="n">
        <v>42310</v>
      </c>
      <c r="AE3" s="20" t="n">
        <v>42136</v>
      </c>
      <c r="AF3" s="20" t="n">
        <v>42360</v>
      </c>
      <c r="AG3" s="16" t="s">
        <v>78</v>
      </c>
      <c r="AH3" s="16" t="s">
        <v>79</v>
      </c>
      <c r="AI3" s="16" t="s">
        <v>92</v>
      </c>
      <c r="AJ3" s="16" t="s">
        <v>93</v>
      </c>
      <c r="AK3" s="16" t="s">
        <v>94</v>
      </c>
      <c r="AL3" s="16" t="s">
        <v>83</v>
      </c>
      <c r="AM3" s="16" t="s">
        <v>84</v>
      </c>
      <c r="AN3" s="16" t="s">
        <v>95</v>
      </c>
      <c r="AO3" s="16" t="n">
        <v>24</v>
      </c>
      <c r="AP3" s="16" t="s">
        <v>85</v>
      </c>
      <c r="AQ3" s="20" t="n">
        <v>43556</v>
      </c>
      <c r="AR3" s="16"/>
      <c r="AS3" s="16" t="n">
        <v>36</v>
      </c>
      <c r="AT3" s="16" t="s">
        <v>87</v>
      </c>
      <c r="AU3" s="16" t="n">
        <v>1.22</v>
      </c>
      <c r="AV3" s="16" t="s">
        <v>87</v>
      </c>
    </row>
    <row r="4" customFormat="false" ht="15.75" hidden="false" customHeight="false" outlineLevel="0" collapsed="false">
      <c r="A4" s="14" t="s">
        <v>96</v>
      </c>
      <c r="B4" s="14" t="s">
        <v>60</v>
      </c>
      <c r="C4" s="15" t="s">
        <v>61</v>
      </c>
      <c r="D4" s="15" t="s">
        <v>62</v>
      </c>
      <c r="E4" s="15" t="s">
        <v>63</v>
      </c>
      <c r="F4" s="16" t="s">
        <v>64</v>
      </c>
      <c r="G4" s="16"/>
      <c r="H4" s="16"/>
      <c r="I4" s="16" t="s">
        <v>65</v>
      </c>
      <c r="J4" s="17" t="n">
        <v>40822011143</v>
      </c>
      <c r="K4" s="15" t="s">
        <v>66</v>
      </c>
      <c r="L4" s="15" t="s">
        <v>67</v>
      </c>
      <c r="M4" s="16"/>
      <c r="N4" s="15" t="s">
        <v>68</v>
      </c>
      <c r="O4" s="16" t="s">
        <v>69</v>
      </c>
      <c r="P4" s="16" t="s">
        <v>97</v>
      </c>
      <c r="Q4" s="15" t="s">
        <v>69</v>
      </c>
      <c r="R4" s="16" t="s">
        <v>98</v>
      </c>
      <c r="S4" s="18" t="n">
        <v>42265</v>
      </c>
      <c r="T4" s="16" t="n">
        <v>2015</v>
      </c>
      <c r="U4" s="15" t="s">
        <v>72</v>
      </c>
      <c r="V4" s="16" t="s">
        <v>99</v>
      </c>
      <c r="W4" s="16" t="n">
        <v>43.680031</v>
      </c>
      <c r="X4" s="16" t="n">
        <v>-70.310425</v>
      </c>
      <c r="Y4" s="16" t="s">
        <v>100</v>
      </c>
      <c r="Z4" s="16" t="s">
        <v>101</v>
      </c>
      <c r="AA4" s="16" t="s">
        <v>102</v>
      </c>
      <c r="AB4" s="20" t="s">
        <v>69</v>
      </c>
      <c r="AC4" s="16" t="s">
        <v>103</v>
      </c>
      <c r="AD4" s="20" t="n">
        <v>43215</v>
      </c>
      <c r="AE4" s="20" t="n">
        <v>43303</v>
      </c>
      <c r="AF4" s="20" t="n">
        <v>43213</v>
      </c>
      <c r="AG4" s="16" t="s">
        <v>78</v>
      </c>
      <c r="AH4" s="16" t="s">
        <v>79</v>
      </c>
      <c r="AI4" s="16" t="s">
        <v>92</v>
      </c>
      <c r="AJ4" s="16" t="s">
        <v>104</v>
      </c>
      <c r="AK4" s="16" t="s">
        <v>105</v>
      </c>
      <c r="AL4" s="16" t="s">
        <v>83</v>
      </c>
      <c r="AM4" s="16" t="s">
        <v>84</v>
      </c>
      <c r="AN4" s="16" t="s">
        <v>106</v>
      </c>
      <c r="AO4" s="16" t="n">
        <v>34</v>
      </c>
      <c r="AP4" s="16" t="s">
        <v>85</v>
      </c>
      <c r="AQ4" s="20" t="n">
        <v>43556</v>
      </c>
      <c r="AR4" s="16"/>
      <c r="AS4" s="16" t="n">
        <v>37</v>
      </c>
      <c r="AT4" s="16" t="s">
        <v>87</v>
      </c>
      <c r="AU4" s="16" t="n">
        <v>2.22</v>
      </c>
      <c r="AV4" s="16" t="s">
        <v>87</v>
      </c>
    </row>
    <row r="5" customFormat="false" ht="15.75" hidden="false" customHeight="false" outlineLevel="0" collapsed="false">
      <c r="A5" s="14" t="s">
        <v>107</v>
      </c>
      <c r="B5" s="14" t="s">
        <v>108</v>
      </c>
      <c r="C5" s="15" t="s">
        <v>61</v>
      </c>
      <c r="D5" s="15" t="s">
        <v>62</v>
      </c>
      <c r="E5" s="15" t="s">
        <v>63</v>
      </c>
      <c r="F5" s="16" t="s">
        <v>64</v>
      </c>
      <c r="G5" s="16"/>
      <c r="H5" s="16"/>
      <c r="I5" s="16" t="s">
        <v>65</v>
      </c>
      <c r="J5" s="17" t="n">
        <v>79893110196</v>
      </c>
      <c r="K5" s="15" t="s">
        <v>66</v>
      </c>
      <c r="L5" s="15" t="s">
        <v>67</v>
      </c>
      <c r="M5" s="16"/>
      <c r="N5" s="15" t="s">
        <v>68</v>
      </c>
      <c r="O5" s="16" t="s">
        <v>69</v>
      </c>
      <c r="P5" s="16" t="s">
        <v>109</v>
      </c>
      <c r="Q5" s="15" t="s">
        <v>69</v>
      </c>
      <c r="R5" s="16" t="s">
        <v>71</v>
      </c>
      <c r="S5" s="18" t="n">
        <v>42256</v>
      </c>
      <c r="T5" s="16" t="n">
        <v>2015</v>
      </c>
      <c r="U5" s="15" t="s">
        <v>72</v>
      </c>
      <c r="V5" s="16" t="s">
        <v>110</v>
      </c>
      <c r="W5" s="16" t="n">
        <v>43.680031</v>
      </c>
      <c r="X5" s="16" t="n">
        <v>-70.310425</v>
      </c>
      <c r="Y5" s="16" t="s">
        <v>100</v>
      </c>
      <c r="Z5" s="16" t="s">
        <v>101</v>
      </c>
      <c r="AA5" s="16" t="s">
        <v>102</v>
      </c>
      <c r="AB5" s="20" t="s">
        <v>69</v>
      </c>
      <c r="AC5" s="16" t="s">
        <v>103</v>
      </c>
      <c r="AD5" s="20" t="n">
        <v>43212</v>
      </c>
      <c r="AE5" s="20" t="n">
        <v>43303</v>
      </c>
      <c r="AF5" s="20" t="n">
        <v>43213</v>
      </c>
      <c r="AG5" s="16" t="s">
        <v>78</v>
      </c>
      <c r="AH5" s="16" t="s">
        <v>79</v>
      </c>
      <c r="AI5" s="16" t="s">
        <v>80</v>
      </c>
      <c r="AJ5" s="16" t="s">
        <v>111</v>
      </c>
      <c r="AK5" s="16" t="s">
        <v>112</v>
      </c>
      <c r="AL5" s="16" t="s">
        <v>83</v>
      </c>
      <c r="AM5" s="16" t="s">
        <v>113</v>
      </c>
      <c r="AN5" s="16" t="s">
        <v>114</v>
      </c>
      <c r="AO5" s="16" t="n">
        <v>76</v>
      </c>
      <c r="AP5" s="16" t="s">
        <v>85</v>
      </c>
      <c r="AQ5" s="20" t="n">
        <v>43556</v>
      </c>
      <c r="AR5" s="16"/>
      <c r="AS5" s="16" t="n">
        <v>38</v>
      </c>
      <c r="AT5" s="16" t="s">
        <v>87</v>
      </c>
      <c r="AU5" s="16" t="n">
        <v>3.22</v>
      </c>
      <c r="AV5" s="16" t="s">
        <v>87</v>
      </c>
    </row>
    <row r="6" customFormat="false" ht="15.75" hidden="false" customHeight="false" outlineLevel="0" collapsed="false">
      <c r="A6" s="14" t="s">
        <v>115</v>
      </c>
      <c r="B6" s="14" t="s">
        <v>60</v>
      </c>
      <c r="C6" s="15" t="s">
        <v>61</v>
      </c>
      <c r="D6" s="15" t="s">
        <v>62</v>
      </c>
      <c r="E6" s="15" t="s">
        <v>63</v>
      </c>
      <c r="F6" s="16" t="s">
        <v>64</v>
      </c>
      <c r="G6" s="16"/>
      <c r="H6" s="16"/>
      <c r="I6" s="16" t="s">
        <v>65</v>
      </c>
      <c r="J6" s="17" t="n">
        <v>40822011143</v>
      </c>
      <c r="K6" s="15" t="s">
        <v>66</v>
      </c>
      <c r="L6" s="15" t="s">
        <v>67</v>
      </c>
      <c r="M6" s="16"/>
      <c r="N6" s="15" t="s">
        <v>68</v>
      </c>
      <c r="O6" s="16" t="s">
        <v>69</v>
      </c>
      <c r="P6" s="16" t="s">
        <v>116</v>
      </c>
      <c r="Q6" s="15" t="s">
        <v>69</v>
      </c>
      <c r="R6" s="16" t="s">
        <v>117</v>
      </c>
      <c r="S6" s="18" t="n">
        <v>42247</v>
      </c>
      <c r="T6" s="16" t="n">
        <v>2015</v>
      </c>
      <c r="U6" s="15" t="s">
        <v>72</v>
      </c>
      <c r="V6" s="16" t="s">
        <v>118</v>
      </c>
      <c r="W6" s="16" t="n">
        <v>43.680031</v>
      </c>
      <c r="X6" s="16" t="n">
        <v>-70.310425</v>
      </c>
      <c r="Y6" s="16" t="s">
        <v>100</v>
      </c>
      <c r="Z6" s="16" t="s">
        <v>101</v>
      </c>
      <c r="AA6" s="16" t="s">
        <v>102</v>
      </c>
      <c r="AB6" s="20" t="s">
        <v>69</v>
      </c>
      <c r="AC6" s="16" t="s">
        <v>103</v>
      </c>
      <c r="AD6" s="20" t="n">
        <v>43222</v>
      </c>
      <c r="AE6" s="20" t="n">
        <v>43303</v>
      </c>
      <c r="AF6" s="20" t="n">
        <v>43213</v>
      </c>
      <c r="AG6" s="16" t="s">
        <v>78</v>
      </c>
      <c r="AH6" s="16" t="s">
        <v>79</v>
      </c>
      <c r="AI6" s="16" t="s">
        <v>92</v>
      </c>
      <c r="AJ6" s="16" t="s">
        <v>119</v>
      </c>
      <c r="AK6" s="16" t="s">
        <v>120</v>
      </c>
      <c r="AL6" s="16" t="s">
        <v>121</v>
      </c>
      <c r="AM6" s="16" t="s">
        <v>84</v>
      </c>
      <c r="AN6" s="16" t="s">
        <v>122</v>
      </c>
      <c r="AO6" s="16" t="n">
        <v>83</v>
      </c>
      <c r="AP6" s="16" t="s">
        <v>87</v>
      </c>
      <c r="AQ6" s="20" t="n">
        <v>43556</v>
      </c>
      <c r="AR6" s="16"/>
      <c r="AS6" s="16" t="n">
        <v>39</v>
      </c>
      <c r="AT6" s="16" t="s">
        <v>87</v>
      </c>
      <c r="AU6" s="16" t="n">
        <v>4.22</v>
      </c>
      <c r="AV6" s="16" t="s">
        <v>87</v>
      </c>
    </row>
    <row r="7" customFormat="false" ht="15.75" hidden="false" customHeight="false" outlineLevel="0" collapsed="false">
      <c r="A7" s="14" t="s">
        <v>123</v>
      </c>
      <c r="B7" s="14" t="s">
        <v>60</v>
      </c>
      <c r="C7" s="15" t="s">
        <v>61</v>
      </c>
      <c r="D7" s="15" t="s">
        <v>62</v>
      </c>
      <c r="E7" s="15" t="s">
        <v>63</v>
      </c>
      <c r="F7" s="16" t="s">
        <v>64</v>
      </c>
      <c r="G7" s="16"/>
      <c r="H7" s="16"/>
      <c r="I7" s="16" t="s">
        <v>65</v>
      </c>
      <c r="J7" s="17" t="n">
        <v>40822011143</v>
      </c>
      <c r="K7" s="15" t="s">
        <v>66</v>
      </c>
      <c r="L7" s="15" t="s">
        <v>67</v>
      </c>
      <c r="M7" s="16"/>
      <c r="N7" s="15" t="s">
        <v>68</v>
      </c>
      <c r="O7" s="16" t="s">
        <v>69</v>
      </c>
      <c r="P7" s="16" t="s">
        <v>124</v>
      </c>
      <c r="Q7" s="15" t="s">
        <v>69</v>
      </c>
      <c r="R7" s="16" t="s">
        <v>125</v>
      </c>
      <c r="S7" s="18" t="n">
        <v>42238</v>
      </c>
      <c r="T7" s="16" t="n">
        <v>2015</v>
      </c>
      <c r="U7" s="15" t="s">
        <v>72</v>
      </c>
      <c r="V7" s="16" t="s">
        <v>126</v>
      </c>
      <c r="W7" s="16" t="n">
        <v>38.351189</v>
      </c>
      <c r="X7" s="16" t="n">
        <v>-81.638359</v>
      </c>
      <c r="Y7" s="16" t="s">
        <v>100</v>
      </c>
      <c r="Z7" s="16" t="s">
        <v>101</v>
      </c>
      <c r="AA7" s="16" t="s">
        <v>127</v>
      </c>
      <c r="AB7" s="20" t="s">
        <v>69</v>
      </c>
      <c r="AC7" s="16" t="s">
        <v>128</v>
      </c>
      <c r="AD7" s="20" t="n">
        <v>43213</v>
      </c>
      <c r="AE7" s="20" t="n">
        <v>43303</v>
      </c>
      <c r="AF7" s="20" t="n">
        <v>43213</v>
      </c>
      <c r="AG7" s="16" t="s">
        <v>78</v>
      </c>
      <c r="AH7" s="16" t="s">
        <v>79</v>
      </c>
      <c r="AI7" s="16" t="s">
        <v>92</v>
      </c>
      <c r="AJ7" s="16" t="s">
        <v>129</v>
      </c>
      <c r="AK7" s="16" t="s">
        <v>130</v>
      </c>
      <c r="AL7" s="16" t="s">
        <v>121</v>
      </c>
      <c r="AM7" s="16" t="s">
        <v>84</v>
      </c>
      <c r="AN7" s="16" t="s">
        <v>131</v>
      </c>
      <c r="AO7" s="16" t="n">
        <v>12</v>
      </c>
      <c r="AP7" s="16" t="s">
        <v>85</v>
      </c>
      <c r="AQ7" s="20" t="n">
        <v>43556</v>
      </c>
      <c r="AR7" s="16"/>
      <c r="AS7" s="16" t="n">
        <v>40</v>
      </c>
      <c r="AT7" s="16" t="s">
        <v>87</v>
      </c>
      <c r="AU7" s="16" t="n">
        <v>5.22</v>
      </c>
      <c r="AV7" s="16" t="s">
        <v>87</v>
      </c>
    </row>
    <row r="8" customFormat="false" ht="15.75" hidden="false" customHeight="false" outlineLevel="0" collapsed="false">
      <c r="A8" s="14" t="s">
        <v>132</v>
      </c>
      <c r="B8" s="14" t="s">
        <v>60</v>
      </c>
      <c r="C8" s="15" t="s">
        <v>61</v>
      </c>
      <c r="D8" s="15" t="s">
        <v>62</v>
      </c>
      <c r="E8" s="15" t="s">
        <v>63</v>
      </c>
      <c r="F8" s="16" t="s">
        <v>64</v>
      </c>
      <c r="G8" s="16"/>
      <c r="H8" s="16"/>
      <c r="I8" s="16" t="s">
        <v>65</v>
      </c>
      <c r="J8" s="17" t="n">
        <v>40822011143</v>
      </c>
      <c r="K8" s="15" t="s">
        <v>66</v>
      </c>
      <c r="L8" s="15" t="s">
        <v>67</v>
      </c>
      <c r="M8" s="16"/>
      <c r="N8" s="15" t="s">
        <v>68</v>
      </c>
      <c r="O8" s="16" t="s">
        <v>69</v>
      </c>
      <c r="P8" s="16" t="s">
        <v>133</v>
      </c>
      <c r="Q8" s="15" t="s">
        <v>69</v>
      </c>
      <c r="R8" s="16" t="s">
        <v>134</v>
      </c>
      <c r="S8" s="18" t="n">
        <v>42229</v>
      </c>
      <c r="T8" s="16" t="n">
        <v>2015</v>
      </c>
      <c r="U8" s="15" t="s">
        <v>72</v>
      </c>
      <c r="V8" s="16" t="s">
        <v>91</v>
      </c>
      <c r="W8" s="16" t="n">
        <v>38.351189</v>
      </c>
      <c r="X8" s="16" t="n">
        <v>-81.638359</v>
      </c>
      <c r="Y8" s="16" t="s">
        <v>100</v>
      </c>
      <c r="Z8" s="16" t="s">
        <v>101</v>
      </c>
      <c r="AA8" s="16" t="s">
        <v>127</v>
      </c>
      <c r="AB8" s="20" t="s">
        <v>69</v>
      </c>
      <c r="AC8" s="16" t="s">
        <v>128</v>
      </c>
      <c r="AD8" s="20" t="n">
        <v>43214</v>
      </c>
      <c r="AE8" s="20" t="n">
        <v>43303</v>
      </c>
      <c r="AF8" s="20" t="n">
        <v>43213</v>
      </c>
      <c r="AG8" s="16" t="s">
        <v>78</v>
      </c>
      <c r="AH8" s="16" t="s">
        <v>79</v>
      </c>
      <c r="AI8" s="16" t="s">
        <v>80</v>
      </c>
      <c r="AJ8" s="16" t="s">
        <v>135</v>
      </c>
      <c r="AK8" s="16" t="s">
        <v>136</v>
      </c>
      <c r="AL8" s="16" t="s">
        <v>121</v>
      </c>
      <c r="AM8" s="16" t="s">
        <v>84</v>
      </c>
      <c r="AN8" s="16" t="s">
        <v>137</v>
      </c>
      <c r="AO8" s="16" t="n">
        <v>24</v>
      </c>
      <c r="AP8" s="16" t="s">
        <v>85</v>
      </c>
      <c r="AQ8" s="20" t="n">
        <v>43556</v>
      </c>
      <c r="AR8" s="16"/>
      <c r="AS8" s="16" t="n">
        <v>41</v>
      </c>
      <c r="AT8" s="16" t="s">
        <v>87</v>
      </c>
      <c r="AU8" s="16" t="n">
        <v>6.22</v>
      </c>
      <c r="AV8" s="16" t="s">
        <v>87</v>
      </c>
    </row>
    <row r="9" customFormat="false" ht="15.75" hidden="false" customHeight="false" outlineLevel="0" collapsed="false">
      <c r="A9" s="14" t="s">
        <v>138</v>
      </c>
      <c r="B9" s="14" t="s">
        <v>139</v>
      </c>
      <c r="C9" s="15" t="s">
        <v>61</v>
      </c>
      <c r="D9" s="15" t="s">
        <v>62</v>
      </c>
      <c r="E9" s="15" t="s">
        <v>63</v>
      </c>
      <c r="F9" s="16" t="s">
        <v>64</v>
      </c>
      <c r="G9" s="16"/>
      <c r="H9" s="16"/>
      <c r="I9" s="16" t="s">
        <v>65</v>
      </c>
      <c r="J9" s="17" t="n">
        <v>78902675305</v>
      </c>
      <c r="K9" s="15" t="s">
        <v>66</v>
      </c>
      <c r="L9" s="15" t="s">
        <v>67</v>
      </c>
      <c r="M9" s="16"/>
      <c r="N9" s="15" t="s">
        <v>68</v>
      </c>
      <c r="O9" s="16" t="s">
        <v>69</v>
      </c>
      <c r="P9" s="16" t="s">
        <v>140</v>
      </c>
      <c r="Q9" s="15" t="s">
        <v>69</v>
      </c>
      <c r="R9" s="16" t="s">
        <v>98</v>
      </c>
      <c r="S9" s="18" t="n">
        <v>42220</v>
      </c>
      <c r="T9" s="16" t="n">
        <v>2015</v>
      </c>
      <c r="U9" s="15" t="s">
        <v>72</v>
      </c>
      <c r="V9" s="16" t="s">
        <v>141</v>
      </c>
      <c r="W9" s="16" t="n">
        <v>43.680031</v>
      </c>
      <c r="X9" s="16" t="n">
        <v>-70.310425</v>
      </c>
      <c r="Y9" s="16" t="s">
        <v>100</v>
      </c>
      <c r="Z9" s="16" t="s">
        <v>101</v>
      </c>
      <c r="AA9" s="16" t="s">
        <v>102</v>
      </c>
      <c r="AB9" s="20" t="s">
        <v>69</v>
      </c>
      <c r="AC9" s="16" t="s">
        <v>103</v>
      </c>
      <c r="AD9" s="20" t="n">
        <v>43209</v>
      </c>
      <c r="AE9" s="20" t="n">
        <v>43303</v>
      </c>
      <c r="AF9" s="20" t="n">
        <v>43213</v>
      </c>
      <c r="AG9" s="16" t="s">
        <v>78</v>
      </c>
      <c r="AH9" s="16" t="s">
        <v>79</v>
      </c>
      <c r="AI9" s="16" t="s">
        <v>92</v>
      </c>
      <c r="AJ9" s="16" t="s">
        <v>142</v>
      </c>
      <c r="AK9" s="16" t="s">
        <v>143</v>
      </c>
      <c r="AL9" s="16" t="s">
        <v>121</v>
      </c>
      <c r="AM9" s="16" t="s">
        <v>144</v>
      </c>
      <c r="AN9" s="16" t="s">
        <v>145</v>
      </c>
      <c r="AO9" s="16" t="n">
        <v>34</v>
      </c>
      <c r="AP9" s="16" t="s">
        <v>85</v>
      </c>
      <c r="AQ9" s="20" t="n">
        <v>43556</v>
      </c>
      <c r="AR9" s="16"/>
      <c r="AS9" s="16" t="n">
        <v>19</v>
      </c>
      <c r="AT9" s="16" t="s">
        <v>87</v>
      </c>
      <c r="AU9" s="16" t="n">
        <v>7.22</v>
      </c>
      <c r="AV9" s="16" t="s">
        <v>87</v>
      </c>
    </row>
    <row r="10" customFormat="false" ht="15.75" hidden="false" customHeight="false" outlineLevel="0" collapsed="false">
      <c r="A10" s="14" t="s">
        <v>146</v>
      </c>
      <c r="B10" s="14" t="s">
        <v>147</v>
      </c>
      <c r="C10" s="15" t="s">
        <v>61</v>
      </c>
      <c r="D10" s="15" t="s">
        <v>62</v>
      </c>
      <c r="E10" s="15" t="s">
        <v>63</v>
      </c>
      <c r="F10" s="16" t="s">
        <v>64</v>
      </c>
      <c r="G10" s="16" t="s">
        <v>148</v>
      </c>
      <c r="H10" s="16"/>
      <c r="I10" s="16" t="s">
        <v>65</v>
      </c>
      <c r="J10" s="17" t="n">
        <v>850157000688</v>
      </c>
      <c r="K10" s="15" t="s">
        <v>66</v>
      </c>
      <c r="L10" s="15" t="s">
        <v>67</v>
      </c>
      <c r="M10" s="16"/>
      <c r="N10" s="15" t="s">
        <v>68</v>
      </c>
      <c r="O10" s="16" t="s">
        <v>69</v>
      </c>
      <c r="P10" s="16" t="s">
        <v>149</v>
      </c>
      <c r="Q10" s="15" t="s">
        <v>69</v>
      </c>
      <c r="R10" s="16" t="s">
        <v>150</v>
      </c>
      <c r="S10" s="18" t="n">
        <v>42211</v>
      </c>
      <c r="T10" s="16" t="n">
        <v>2015</v>
      </c>
      <c r="U10" s="15" t="s">
        <v>72</v>
      </c>
      <c r="V10" s="16" t="s">
        <v>99</v>
      </c>
      <c r="W10" s="16" t="n">
        <v>43.680031</v>
      </c>
      <c r="X10" s="16" t="n">
        <v>-70.310425</v>
      </c>
      <c r="Y10" s="16" t="s">
        <v>100</v>
      </c>
      <c r="Z10" s="16" t="s">
        <v>101</v>
      </c>
      <c r="AA10" s="16" t="s">
        <v>102</v>
      </c>
      <c r="AB10" s="20" t="s">
        <v>69</v>
      </c>
      <c r="AC10" s="16" t="s">
        <v>103</v>
      </c>
      <c r="AD10" s="20" t="n">
        <v>43219</v>
      </c>
      <c r="AE10" s="20" t="n">
        <v>43303</v>
      </c>
      <c r="AF10" s="20" t="n">
        <v>43213</v>
      </c>
      <c r="AG10" s="16" t="s">
        <v>78</v>
      </c>
      <c r="AH10" s="16" t="s">
        <v>79</v>
      </c>
      <c r="AI10" s="16" t="s">
        <v>80</v>
      </c>
      <c r="AJ10" s="16" t="s">
        <v>151</v>
      </c>
      <c r="AK10" s="16" t="s">
        <v>152</v>
      </c>
      <c r="AL10" s="16" t="s">
        <v>121</v>
      </c>
      <c r="AM10" s="16" t="s">
        <v>153</v>
      </c>
      <c r="AN10" s="16" t="s">
        <v>154</v>
      </c>
      <c r="AO10" s="16" t="n">
        <v>76</v>
      </c>
      <c r="AP10" s="16" t="s">
        <v>85</v>
      </c>
      <c r="AQ10" s="20" t="n">
        <v>43556</v>
      </c>
      <c r="AR10" s="16" t="s">
        <v>155</v>
      </c>
      <c r="AS10" s="16" t="n">
        <v>20</v>
      </c>
      <c r="AT10" s="16" t="s">
        <v>87</v>
      </c>
      <c r="AU10" s="16" t="n">
        <v>8.22</v>
      </c>
      <c r="AV10" s="16" t="s">
        <v>87</v>
      </c>
    </row>
    <row r="11" customFormat="false" ht="15.75" hidden="false" customHeight="false" outlineLevel="0" collapsed="false">
      <c r="A11" s="14" t="s">
        <v>156</v>
      </c>
      <c r="B11" s="14" t="s">
        <v>139</v>
      </c>
      <c r="C11" s="15" t="s">
        <v>61</v>
      </c>
      <c r="D11" s="15" t="s">
        <v>62</v>
      </c>
      <c r="E11" s="15" t="s">
        <v>63</v>
      </c>
      <c r="F11" s="16" t="s">
        <v>64</v>
      </c>
      <c r="G11" s="16"/>
      <c r="H11" s="16"/>
      <c r="I11" s="16" t="s">
        <v>65</v>
      </c>
      <c r="J11" s="17" t="n">
        <v>78902675305</v>
      </c>
      <c r="K11" s="15" t="s">
        <v>66</v>
      </c>
      <c r="L11" s="15" t="s">
        <v>67</v>
      </c>
      <c r="M11" s="16"/>
      <c r="N11" s="15" t="s">
        <v>68</v>
      </c>
      <c r="O11" s="16" t="s">
        <v>69</v>
      </c>
      <c r="P11" s="16" t="s">
        <v>157</v>
      </c>
      <c r="Q11" s="15" t="s">
        <v>69</v>
      </c>
      <c r="R11" s="16" t="s">
        <v>150</v>
      </c>
      <c r="S11" s="18" t="n">
        <v>42202</v>
      </c>
      <c r="T11" s="16" t="n">
        <v>2015</v>
      </c>
      <c r="U11" s="15" t="s">
        <v>72</v>
      </c>
      <c r="V11" s="16" t="s">
        <v>126</v>
      </c>
      <c r="W11" s="16" t="n">
        <v>38.351189</v>
      </c>
      <c r="X11" s="16" t="n">
        <v>-70.310425</v>
      </c>
      <c r="Y11" s="16" t="s">
        <v>100</v>
      </c>
      <c r="Z11" s="16" t="s">
        <v>101</v>
      </c>
      <c r="AA11" s="16" t="s">
        <v>102</v>
      </c>
      <c r="AB11" s="20" t="s">
        <v>69</v>
      </c>
      <c r="AC11" s="16" t="s">
        <v>103</v>
      </c>
      <c r="AD11" s="20" t="n">
        <v>43213</v>
      </c>
      <c r="AE11" s="20" t="n">
        <v>43303</v>
      </c>
      <c r="AF11" s="20" t="n">
        <v>43213</v>
      </c>
      <c r="AG11" s="16" t="s">
        <v>78</v>
      </c>
      <c r="AH11" s="16" t="s">
        <v>79</v>
      </c>
      <c r="AI11" s="16" t="s">
        <v>92</v>
      </c>
      <c r="AJ11" s="16" t="s">
        <v>158</v>
      </c>
      <c r="AK11" s="16" t="s">
        <v>159</v>
      </c>
      <c r="AL11" s="16" t="s">
        <v>121</v>
      </c>
      <c r="AM11" s="16" t="s">
        <v>144</v>
      </c>
      <c r="AN11" s="16" t="s">
        <v>160</v>
      </c>
      <c r="AO11" s="16" t="n">
        <v>83</v>
      </c>
      <c r="AP11" s="16" t="s">
        <v>87</v>
      </c>
      <c r="AQ11" s="20" t="n">
        <v>43556</v>
      </c>
      <c r="AR11" s="16"/>
      <c r="AS11" s="16" t="n">
        <v>21</v>
      </c>
      <c r="AT11" s="16" t="s">
        <v>87</v>
      </c>
      <c r="AU11" s="16" t="n">
        <v>9.22</v>
      </c>
      <c r="AV11" s="16" t="s">
        <v>87</v>
      </c>
    </row>
    <row r="12" customFormat="false" ht="15.75" hidden="false" customHeight="false" outlineLevel="0" collapsed="false">
      <c r="A12" s="14" t="s">
        <v>161</v>
      </c>
      <c r="B12" s="14" t="s">
        <v>108</v>
      </c>
      <c r="C12" s="15" t="s">
        <v>61</v>
      </c>
      <c r="D12" s="15" t="s">
        <v>62</v>
      </c>
      <c r="E12" s="15" t="s">
        <v>63</v>
      </c>
      <c r="F12" s="16" t="s">
        <v>64</v>
      </c>
      <c r="G12" s="16"/>
      <c r="H12" s="16"/>
      <c r="I12" s="16" t="s">
        <v>65</v>
      </c>
      <c r="J12" s="17" t="n">
        <v>41318091397</v>
      </c>
      <c r="K12" s="15" t="s">
        <v>66</v>
      </c>
      <c r="L12" s="15" t="s">
        <v>67</v>
      </c>
      <c r="M12" s="16"/>
      <c r="N12" s="15" t="s">
        <v>68</v>
      </c>
      <c r="O12" s="16" t="s">
        <v>69</v>
      </c>
      <c r="P12" s="16" t="s">
        <v>70</v>
      </c>
      <c r="Q12" s="15" t="s">
        <v>69</v>
      </c>
      <c r="R12" s="16"/>
      <c r="S12" s="18" t="n">
        <v>42193</v>
      </c>
      <c r="T12" s="16" t="n">
        <v>2015</v>
      </c>
      <c r="U12" s="15" t="s">
        <v>72</v>
      </c>
      <c r="V12" s="16" t="s">
        <v>141</v>
      </c>
      <c r="W12" s="16" t="n">
        <v>38.351189</v>
      </c>
      <c r="X12" s="16" t="n">
        <v>-81.638359</v>
      </c>
      <c r="Y12" s="16" t="s">
        <v>100</v>
      </c>
      <c r="Z12" s="16" t="s">
        <v>101</v>
      </c>
      <c r="AA12" s="16" t="s">
        <v>127</v>
      </c>
      <c r="AB12" s="20" t="s">
        <v>69</v>
      </c>
      <c r="AC12" s="16" t="s">
        <v>128</v>
      </c>
      <c r="AD12" s="20" t="n">
        <v>43221</v>
      </c>
      <c r="AE12" s="20" t="n">
        <v>43303</v>
      </c>
      <c r="AF12" s="20" t="n">
        <v>43213</v>
      </c>
      <c r="AG12" s="16" t="s">
        <v>78</v>
      </c>
      <c r="AH12" s="16" t="s">
        <v>79</v>
      </c>
      <c r="AI12" s="16" t="s">
        <v>92</v>
      </c>
      <c r="AJ12" s="16" t="s">
        <v>162</v>
      </c>
      <c r="AK12" s="16" t="s">
        <v>163</v>
      </c>
      <c r="AL12" s="16" t="s">
        <v>121</v>
      </c>
      <c r="AM12" s="16" t="s">
        <v>164</v>
      </c>
      <c r="AN12" s="16" t="n">
        <v>70234023492</v>
      </c>
      <c r="AO12" s="16" t="n">
        <v>12</v>
      </c>
      <c r="AP12" s="16" t="s">
        <v>85</v>
      </c>
      <c r="AQ12" s="20" t="n">
        <v>43556</v>
      </c>
      <c r="AR12" s="16"/>
      <c r="AS12" s="16" t="n">
        <v>22</v>
      </c>
      <c r="AT12" s="16" t="s">
        <v>87</v>
      </c>
      <c r="AU12" s="16" t="n">
        <v>10.22</v>
      </c>
      <c r="AV12" s="16" t="s">
        <v>87</v>
      </c>
    </row>
    <row r="13" customFormat="false" ht="15.75" hidden="false" customHeight="false" outlineLevel="0" collapsed="false">
      <c r="A13" s="14" t="s">
        <v>165</v>
      </c>
      <c r="B13" s="14" t="s">
        <v>166</v>
      </c>
      <c r="C13" s="15" t="s">
        <v>167</v>
      </c>
      <c r="D13" s="15" t="s">
        <v>62</v>
      </c>
      <c r="E13" s="15" t="s">
        <v>168</v>
      </c>
      <c r="F13" s="16" t="s">
        <v>169</v>
      </c>
      <c r="G13" s="16" t="s">
        <v>170</v>
      </c>
      <c r="H13" s="16"/>
      <c r="I13" s="16" t="s">
        <v>171</v>
      </c>
      <c r="J13" s="17" t="n">
        <v>41220628711</v>
      </c>
      <c r="K13" s="15" t="s">
        <v>172</v>
      </c>
      <c r="L13" s="15"/>
      <c r="M13" s="16" t="s">
        <v>173</v>
      </c>
      <c r="N13" s="15" t="s">
        <v>174</v>
      </c>
      <c r="O13" s="16" t="s">
        <v>175</v>
      </c>
      <c r="P13" s="16" t="s">
        <v>176</v>
      </c>
      <c r="Q13" s="15" t="s">
        <v>69</v>
      </c>
      <c r="R13" s="16"/>
      <c r="S13" s="18" t="n">
        <v>43198</v>
      </c>
      <c r="T13" s="16" t="n">
        <v>2018</v>
      </c>
      <c r="U13" s="15" t="s">
        <v>72</v>
      </c>
      <c r="V13" s="16" t="s">
        <v>110</v>
      </c>
      <c r="W13" s="16" t="n">
        <v>41.50245</v>
      </c>
      <c r="X13" s="16" t="n">
        <v>-81.638359</v>
      </c>
      <c r="Y13" s="16" t="s">
        <v>100</v>
      </c>
      <c r="Z13" s="16" t="s">
        <v>101</v>
      </c>
      <c r="AA13" s="16" t="s">
        <v>127</v>
      </c>
      <c r="AB13" s="20" t="s">
        <v>69</v>
      </c>
      <c r="AC13" s="16" t="s">
        <v>128</v>
      </c>
      <c r="AD13" s="20" t="n">
        <v>43214</v>
      </c>
      <c r="AE13" s="20" t="n">
        <v>43303</v>
      </c>
      <c r="AF13" s="20" t="n">
        <v>43213</v>
      </c>
      <c r="AG13" s="16" t="s">
        <v>177</v>
      </c>
      <c r="AH13" s="16" t="s">
        <v>178</v>
      </c>
      <c r="AI13" s="16"/>
      <c r="AJ13" s="16" t="s">
        <v>179</v>
      </c>
      <c r="AK13" s="16" t="s">
        <v>180</v>
      </c>
      <c r="AL13" s="16" t="s">
        <v>121</v>
      </c>
      <c r="AM13" s="16"/>
      <c r="AN13" s="16" t="s">
        <v>181</v>
      </c>
      <c r="AO13" s="16" t="n">
        <v>24</v>
      </c>
      <c r="AP13" s="16" t="s">
        <v>85</v>
      </c>
      <c r="AQ13" s="20" t="n">
        <v>43556</v>
      </c>
      <c r="AR13" s="16" t="s">
        <v>182</v>
      </c>
      <c r="AS13" s="16" t="n">
        <v>23</v>
      </c>
      <c r="AT13" s="16" t="s">
        <v>87</v>
      </c>
      <c r="AU13" s="16" t="n">
        <v>11.22</v>
      </c>
      <c r="AV13" s="16" t="s">
        <v>87</v>
      </c>
    </row>
    <row r="14" customFormat="false" ht="15.75" hidden="false" customHeight="false" outlineLevel="0" collapsed="false">
      <c r="A14" s="14" t="s">
        <v>183</v>
      </c>
      <c r="B14" s="14" t="s">
        <v>166</v>
      </c>
      <c r="C14" s="15" t="s">
        <v>167</v>
      </c>
      <c r="D14" s="15" t="s">
        <v>62</v>
      </c>
      <c r="E14" s="15" t="s">
        <v>168</v>
      </c>
      <c r="F14" s="16" t="s">
        <v>169</v>
      </c>
      <c r="G14" s="16" t="s">
        <v>170</v>
      </c>
      <c r="H14" s="16"/>
      <c r="I14" s="16" t="s">
        <v>171</v>
      </c>
      <c r="J14" s="17" t="n">
        <v>21130070114</v>
      </c>
      <c r="K14" s="15" t="s">
        <v>172</v>
      </c>
      <c r="L14" s="15"/>
      <c r="M14" s="16" t="s">
        <v>173</v>
      </c>
      <c r="N14" s="15" t="s">
        <v>174</v>
      </c>
      <c r="O14" s="16" t="s">
        <v>175</v>
      </c>
      <c r="P14" s="16" t="s">
        <v>184</v>
      </c>
      <c r="Q14" s="15" t="s">
        <v>69</v>
      </c>
      <c r="R14" s="16" t="s">
        <v>98</v>
      </c>
      <c r="S14" s="18" t="n">
        <v>43198</v>
      </c>
      <c r="T14" s="16" t="n">
        <v>2018</v>
      </c>
      <c r="U14" s="15" t="s">
        <v>72</v>
      </c>
      <c r="V14" s="16" t="s">
        <v>185</v>
      </c>
      <c r="W14" s="16" t="n">
        <v>41.50432</v>
      </c>
      <c r="X14" s="19" t="n">
        <v>-81.68129</v>
      </c>
      <c r="Y14" s="16" t="s">
        <v>100</v>
      </c>
      <c r="Z14" s="16" t="s">
        <v>101</v>
      </c>
      <c r="AA14" s="16" t="s">
        <v>76</v>
      </c>
      <c r="AB14" s="20" t="s">
        <v>69</v>
      </c>
      <c r="AC14" s="16" t="s">
        <v>77</v>
      </c>
      <c r="AD14" s="20" t="n">
        <v>43212</v>
      </c>
      <c r="AE14" s="20" t="n">
        <v>43303</v>
      </c>
      <c r="AF14" s="20" t="n">
        <v>43213</v>
      </c>
      <c r="AG14" s="16" t="s">
        <v>177</v>
      </c>
      <c r="AH14" s="16" t="s">
        <v>178</v>
      </c>
      <c r="AI14" s="16"/>
      <c r="AJ14" s="16" t="s">
        <v>186</v>
      </c>
      <c r="AK14" s="16" t="s">
        <v>187</v>
      </c>
      <c r="AL14" s="16" t="s">
        <v>121</v>
      </c>
      <c r="AM14" s="16"/>
      <c r="AN14" s="16" t="s">
        <v>188</v>
      </c>
      <c r="AO14" s="16" t="n">
        <v>34</v>
      </c>
      <c r="AP14" s="16" t="s">
        <v>85</v>
      </c>
      <c r="AQ14" s="20" t="n">
        <v>43556</v>
      </c>
      <c r="AR14" s="16" t="s">
        <v>182</v>
      </c>
      <c r="AS14" s="16" t="n">
        <v>24</v>
      </c>
      <c r="AT14" s="16" t="s">
        <v>87</v>
      </c>
      <c r="AU14" s="16" t="n">
        <v>12.22</v>
      </c>
      <c r="AV14" s="16" t="s">
        <v>87</v>
      </c>
    </row>
    <row r="15" customFormat="false" ht="15.75" hidden="false" customHeight="false" outlineLevel="0" collapsed="false">
      <c r="A15" s="14" t="s">
        <v>189</v>
      </c>
      <c r="B15" s="14" t="s">
        <v>166</v>
      </c>
      <c r="C15" s="15" t="s">
        <v>167</v>
      </c>
      <c r="D15" s="15" t="s">
        <v>62</v>
      </c>
      <c r="E15" s="15" t="s">
        <v>168</v>
      </c>
      <c r="F15" s="16" t="s">
        <v>169</v>
      </c>
      <c r="G15" s="16" t="s">
        <v>170</v>
      </c>
      <c r="H15" s="16"/>
      <c r="I15" s="16" t="s">
        <v>171</v>
      </c>
      <c r="J15" s="17" t="n">
        <v>78742352015</v>
      </c>
      <c r="K15" s="15" t="s">
        <v>172</v>
      </c>
      <c r="L15" s="15"/>
      <c r="M15" s="16" t="s">
        <v>173</v>
      </c>
      <c r="N15" s="15" t="s">
        <v>174</v>
      </c>
      <c r="O15" s="16" t="s">
        <v>175</v>
      </c>
      <c r="P15" s="16" t="s">
        <v>70</v>
      </c>
      <c r="Q15" s="15" t="s">
        <v>69</v>
      </c>
      <c r="R15" s="16" t="s">
        <v>71</v>
      </c>
      <c r="S15" s="18" t="n">
        <v>43205</v>
      </c>
      <c r="T15" s="16" t="n">
        <v>2018</v>
      </c>
      <c r="U15" s="15" t="s">
        <v>72</v>
      </c>
      <c r="V15" s="16" t="s">
        <v>190</v>
      </c>
      <c r="W15" s="16" t="n">
        <v>41.50545</v>
      </c>
      <c r="X15" s="19" t="n">
        <v>-81.68129</v>
      </c>
      <c r="Y15" s="16" t="s">
        <v>100</v>
      </c>
      <c r="Z15" s="16" t="s">
        <v>101</v>
      </c>
      <c r="AA15" s="16" t="s">
        <v>76</v>
      </c>
      <c r="AB15" s="20" t="s">
        <v>69</v>
      </c>
      <c r="AC15" s="16" t="s">
        <v>77</v>
      </c>
      <c r="AD15" s="20" t="n">
        <v>43222</v>
      </c>
      <c r="AE15" s="20" t="n">
        <v>43303</v>
      </c>
      <c r="AF15" s="20" t="n">
        <v>43213</v>
      </c>
      <c r="AG15" s="16" t="s">
        <v>177</v>
      </c>
      <c r="AH15" s="16" t="s">
        <v>178</v>
      </c>
      <c r="AI15" s="16"/>
      <c r="AJ15" s="16" t="s">
        <v>191</v>
      </c>
      <c r="AK15" s="16" t="s">
        <v>192</v>
      </c>
      <c r="AL15" s="16" t="s">
        <v>193</v>
      </c>
      <c r="AM15" s="16"/>
      <c r="AN15" s="16" t="n">
        <v>1491913</v>
      </c>
      <c r="AO15" s="16" t="n">
        <v>76</v>
      </c>
      <c r="AP15" s="16" t="s">
        <v>85</v>
      </c>
      <c r="AQ15" s="20" t="n">
        <v>43556</v>
      </c>
      <c r="AR15" s="16" t="s">
        <v>182</v>
      </c>
      <c r="AS15" s="16" t="n">
        <v>15</v>
      </c>
      <c r="AT15" s="16" t="s">
        <v>87</v>
      </c>
      <c r="AU15" s="16" t="n">
        <v>13.22</v>
      </c>
      <c r="AV15" s="16" t="s">
        <v>87</v>
      </c>
    </row>
    <row r="16" customFormat="false" ht="15.75" hidden="false" customHeight="false" outlineLevel="0" collapsed="false">
      <c r="A16" s="14" t="s">
        <v>194</v>
      </c>
      <c r="B16" s="14" t="s">
        <v>166</v>
      </c>
      <c r="C16" s="15" t="s">
        <v>167</v>
      </c>
      <c r="D16" s="15" t="s">
        <v>62</v>
      </c>
      <c r="E16" s="15" t="s">
        <v>168</v>
      </c>
      <c r="F16" s="16" t="s">
        <v>169</v>
      </c>
      <c r="G16" s="16" t="s">
        <v>170</v>
      </c>
      <c r="H16" s="16"/>
      <c r="I16" s="16" t="s">
        <v>171</v>
      </c>
      <c r="J16" s="17" t="n">
        <v>78742351872</v>
      </c>
      <c r="K16" s="15" t="s">
        <v>172</v>
      </c>
      <c r="L16" s="15"/>
      <c r="M16" s="16" t="s">
        <v>173</v>
      </c>
      <c r="N16" s="15" t="s">
        <v>174</v>
      </c>
      <c r="O16" s="16" t="s">
        <v>175</v>
      </c>
      <c r="P16" s="16" t="s">
        <v>195</v>
      </c>
      <c r="Q16" s="15" t="s">
        <v>69</v>
      </c>
      <c r="R16" s="16" t="s">
        <v>117</v>
      </c>
      <c r="S16" s="18" t="n">
        <v>43197</v>
      </c>
      <c r="T16" s="16" t="n">
        <v>2018</v>
      </c>
      <c r="U16" s="15" t="s">
        <v>72</v>
      </c>
      <c r="V16" s="16" t="s">
        <v>196</v>
      </c>
      <c r="W16" s="16" t="n">
        <v>41.50431</v>
      </c>
      <c r="X16" s="19" t="n">
        <v>-81.68129</v>
      </c>
      <c r="Y16" s="16" t="s">
        <v>100</v>
      </c>
      <c r="Z16" s="16" t="s">
        <v>101</v>
      </c>
      <c r="AA16" s="16" t="s">
        <v>76</v>
      </c>
      <c r="AB16" s="20" t="s">
        <v>69</v>
      </c>
      <c r="AC16" s="16" t="s">
        <v>77</v>
      </c>
      <c r="AD16" s="20" t="n">
        <v>43213</v>
      </c>
      <c r="AE16" s="20" t="n">
        <v>43303</v>
      </c>
      <c r="AF16" s="20" t="n">
        <v>43213</v>
      </c>
      <c r="AG16" s="16" t="s">
        <v>177</v>
      </c>
      <c r="AH16" s="16" t="s">
        <v>178</v>
      </c>
      <c r="AI16" s="16"/>
      <c r="AJ16" s="16" t="s">
        <v>197</v>
      </c>
      <c r="AK16" s="16" t="s">
        <v>198</v>
      </c>
      <c r="AL16" s="16" t="s">
        <v>193</v>
      </c>
      <c r="AM16" s="16"/>
      <c r="AN16" s="16" t="s">
        <v>199</v>
      </c>
      <c r="AO16" s="16" t="n">
        <v>83</v>
      </c>
      <c r="AP16" s="16" t="s">
        <v>87</v>
      </c>
      <c r="AQ16" s="20" t="n">
        <v>43556</v>
      </c>
      <c r="AR16" s="16" t="s">
        <v>182</v>
      </c>
      <c r="AS16" s="16" t="n">
        <v>16</v>
      </c>
      <c r="AT16" s="16" t="s">
        <v>87</v>
      </c>
      <c r="AU16" s="16" t="n">
        <v>14.22</v>
      </c>
      <c r="AV16" s="16" t="s">
        <v>87</v>
      </c>
    </row>
    <row r="17" customFormat="false" ht="15.75" hidden="false" customHeight="false" outlineLevel="0" collapsed="false">
      <c r="A17" s="14" t="s">
        <v>200</v>
      </c>
      <c r="B17" s="14" t="s">
        <v>201</v>
      </c>
      <c r="C17" s="15" t="s">
        <v>202</v>
      </c>
      <c r="D17" s="15" t="s">
        <v>62</v>
      </c>
      <c r="E17" s="15" t="s">
        <v>201</v>
      </c>
      <c r="F17" s="16" t="s">
        <v>169</v>
      </c>
      <c r="G17" s="16" t="s">
        <v>170</v>
      </c>
      <c r="H17" s="16"/>
      <c r="I17" s="16" t="s">
        <v>171</v>
      </c>
      <c r="J17" s="17" t="n">
        <v>78742351872</v>
      </c>
      <c r="K17" s="15" t="s">
        <v>172</v>
      </c>
      <c r="L17" s="15"/>
      <c r="M17" s="16" t="s">
        <v>203</v>
      </c>
      <c r="N17" s="15" t="s">
        <v>174</v>
      </c>
      <c r="O17" s="16" t="s">
        <v>175</v>
      </c>
      <c r="P17" s="16" t="s">
        <v>204</v>
      </c>
      <c r="Q17" s="15" t="s">
        <v>69</v>
      </c>
      <c r="R17" s="16" t="s">
        <v>125</v>
      </c>
      <c r="S17" s="18" t="n">
        <v>43198</v>
      </c>
      <c r="T17" s="16" t="n">
        <v>2018</v>
      </c>
      <c r="U17" s="15" t="s">
        <v>72</v>
      </c>
      <c r="V17" s="16" t="s">
        <v>190</v>
      </c>
      <c r="W17" s="16" t="n">
        <v>41.50531</v>
      </c>
      <c r="X17" s="19" t="n">
        <v>-81.68129</v>
      </c>
      <c r="Y17" s="16" t="s">
        <v>100</v>
      </c>
      <c r="Z17" s="16" t="s">
        <v>101</v>
      </c>
      <c r="AA17" s="16" t="s">
        <v>76</v>
      </c>
      <c r="AB17" s="20" t="s">
        <v>69</v>
      </c>
      <c r="AC17" s="16" t="s">
        <v>77</v>
      </c>
      <c r="AD17" s="20" t="n">
        <v>43214</v>
      </c>
      <c r="AE17" s="20" t="n">
        <v>43303</v>
      </c>
      <c r="AF17" s="20" t="n">
        <v>43213</v>
      </c>
      <c r="AG17" s="16" t="s">
        <v>177</v>
      </c>
      <c r="AH17" s="16" t="s">
        <v>178</v>
      </c>
      <c r="AI17" s="16"/>
      <c r="AJ17" s="16" t="s">
        <v>205</v>
      </c>
      <c r="AK17" s="16" t="s">
        <v>206</v>
      </c>
      <c r="AL17" s="16" t="s">
        <v>193</v>
      </c>
      <c r="AM17" s="16"/>
      <c r="AN17" s="16" t="s">
        <v>207</v>
      </c>
      <c r="AO17" s="16" t="n">
        <v>12</v>
      </c>
      <c r="AP17" s="16" t="s">
        <v>85</v>
      </c>
      <c r="AQ17" s="20" t="n">
        <v>43556</v>
      </c>
      <c r="AR17" s="16" t="s">
        <v>182</v>
      </c>
      <c r="AS17" s="16" t="n">
        <v>17</v>
      </c>
      <c r="AT17" s="16" t="s">
        <v>87</v>
      </c>
      <c r="AU17" s="16" t="n">
        <v>15.22</v>
      </c>
      <c r="AV17" s="16" t="s">
        <v>87</v>
      </c>
    </row>
    <row r="18" customFormat="false" ht="15.75" hidden="false" customHeight="false" outlineLevel="0" collapsed="false">
      <c r="A18" s="14" t="s">
        <v>208</v>
      </c>
      <c r="B18" s="14" t="s">
        <v>201</v>
      </c>
      <c r="C18" s="15" t="s">
        <v>202</v>
      </c>
      <c r="D18" s="15" t="s">
        <v>62</v>
      </c>
      <c r="E18" s="15" t="s">
        <v>201</v>
      </c>
      <c r="F18" s="16" t="s">
        <v>169</v>
      </c>
      <c r="G18" s="16" t="s">
        <v>170</v>
      </c>
      <c r="H18" s="16"/>
      <c r="I18" s="16" t="s">
        <v>171</v>
      </c>
      <c r="J18" s="17" t="n">
        <v>41190458004</v>
      </c>
      <c r="K18" s="15" t="s">
        <v>172</v>
      </c>
      <c r="L18" s="15"/>
      <c r="M18" s="16" t="s">
        <v>203</v>
      </c>
      <c r="N18" s="15" t="s">
        <v>174</v>
      </c>
      <c r="O18" s="16" t="s">
        <v>175</v>
      </c>
      <c r="P18" s="16" t="s">
        <v>209</v>
      </c>
      <c r="Q18" s="15" t="s">
        <v>69</v>
      </c>
      <c r="R18" s="16" t="s">
        <v>134</v>
      </c>
      <c r="S18" s="18" t="n">
        <v>43198</v>
      </c>
      <c r="T18" s="16" t="n">
        <v>2018</v>
      </c>
      <c r="U18" s="15" t="s">
        <v>72</v>
      </c>
      <c r="V18" s="16" t="s">
        <v>91</v>
      </c>
      <c r="W18" s="16" t="n">
        <v>41.50335</v>
      </c>
      <c r="X18" s="19" t="n">
        <v>-81.68129</v>
      </c>
      <c r="Y18" s="16" t="s">
        <v>100</v>
      </c>
      <c r="Z18" s="16" t="s">
        <v>101</v>
      </c>
      <c r="AA18" s="16" t="s">
        <v>76</v>
      </c>
      <c r="AB18" s="20" t="s">
        <v>69</v>
      </c>
      <c r="AC18" s="16" t="s">
        <v>77</v>
      </c>
      <c r="AD18" s="20" t="n">
        <v>43209</v>
      </c>
      <c r="AE18" s="20" t="n">
        <v>43303</v>
      </c>
      <c r="AF18" s="20" t="n">
        <v>43213</v>
      </c>
      <c r="AG18" s="16" t="s">
        <v>177</v>
      </c>
      <c r="AH18" s="16" t="s">
        <v>178</v>
      </c>
      <c r="AI18" s="16"/>
      <c r="AJ18" s="16" t="s">
        <v>210</v>
      </c>
      <c r="AK18" s="16" t="s">
        <v>211</v>
      </c>
      <c r="AL18" s="16" t="s">
        <v>121</v>
      </c>
      <c r="AM18" s="16"/>
      <c r="AN18" s="16" t="n">
        <v>431</v>
      </c>
      <c r="AO18" s="16" t="n">
        <v>24</v>
      </c>
      <c r="AP18" s="16" t="s">
        <v>85</v>
      </c>
      <c r="AQ18" s="20" t="n">
        <v>43556</v>
      </c>
      <c r="AR18" s="16" t="s">
        <v>182</v>
      </c>
      <c r="AS18" s="16" t="n">
        <v>18</v>
      </c>
      <c r="AT18" s="16" t="s">
        <v>87</v>
      </c>
      <c r="AU18" s="16" t="n">
        <v>16.22</v>
      </c>
      <c r="AV18" s="16" t="s">
        <v>87</v>
      </c>
    </row>
    <row r="19" customFormat="false" ht="15.75" hidden="false" customHeight="false" outlineLevel="0" collapsed="false">
      <c r="A19" s="14" t="s">
        <v>212</v>
      </c>
      <c r="B19" s="14" t="s">
        <v>201</v>
      </c>
      <c r="C19" s="15" t="s">
        <v>202</v>
      </c>
      <c r="D19" s="15" t="s">
        <v>62</v>
      </c>
      <c r="E19" s="15" t="s">
        <v>201</v>
      </c>
      <c r="F19" s="16" t="s">
        <v>169</v>
      </c>
      <c r="G19" s="16" t="s">
        <v>170</v>
      </c>
      <c r="H19" s="16"/>
      <c r="I19" s="16" t="s">
        <v>171</v>
      </c>
      <c r="J19" s="17" t="n">
        <v>41900076634</v>
      </c>
      <c r="K19" s="15" t="s">
        <v>172</v>
      </c>
      <c r="L19" s="15"/>
      <c r="M19" s="16" t="s">
        <v>203</v>
      </c>
      <c r="N19" s="15" t="s">
        <v>174</v>
      </c>
      <c r="O19" s="16" t="s">
        <v>175</v>
      </c>
      <c r="P19" s="16" t="s">
        <v>133</v>
      </c>
      <c r="Q19" s="15" t="s">
        <v>69</v>
      </c>
      <c r="R19" s="16" t="s">
        <v>98</v>
      </c>
      <c r="S19" s="18" t="n">
        <v>43206</v>
      </c>
      <c r="T19" s="16" t="n">
        <v>2018</v>
      </c>
      <c r="U19" s="15" t="s">
        <v>72</v>
      </c>
      <c r="V19" s="16" t="s">
        <v>190</v>
      </c>
      <c r="W19" s="16" t="n">
        <v>41.50555</v>
      </c>
      <c r="X19" s="19" t="n">
        <v>-81.68129</v>
      </c>
      <c r="Y19" s="16" t="s">
        <v>100</v>
      </c>
      <c r="Z19" s="16" t="s">
        <v>101</v>
      </c>
      <c r="AA19" s="16" t="s">
        <v>76</v>
      </c>
      <c r="AB19" s="20" t="s">
        <v>69</v>
      </c>
      <c r="AC19" s="16" t="s">
        <v>77</v>
      </c>
      <c r="AD19" s="20" t="n">
        <v>43219</v>
      </c>
      <c r="AE19" s="20" t="n">
        <v>43303</v>
      </c>
      <c r="AF19" s="20" t="n">
        <v>43213</v>
      </c>
      <c r="AG19" s="16" t="s">
        <v>177</v>
      </c>
      <c r="AH19" s="16" t="s">
        <v>178</v>
      </c>
      <c r="AI19" s="16"/>
      <c r="AJ19" s="16" t="s">
        <v>213</v>
      </c>
      <c r="AK19" s="16" t="s">
        <v>214</v>
      </c>
      <c r="AL19" s="16" t="s">
        <v>121</v>
      </c>
      <c r="AM19" s="16"/>
      <c r="AN19" s="16" t="s">
        <v>215</v>
      </c>
      <c r="AO19" s="16" t="n">
        <v>34</v>
      </c>
      <c r="AP19" s="16" t="s">
        <v>85</v>
      </c>
      <c r="AQ19" s="20" t="n">
        <v>43556</v>
      </c>
      <c r="AR19" s="16" t="s">
        <v>182</v>
      </c>
      <c r="AS19" s="16" t="n">
        <v>29</v>
      </c>
      <c r="AT19" s="16" t="s">
        <v>87</v>
      </c>
      <c r="AU19" s="16" t="n">
        <v>17.22</v>
      </c>
      <c r="AV19" s="16" t="s">
        <v>87</v>
      </c>
    </row>
    <row r="20" customFormat="false" ht="15.75" hidden="false" customHeight="false" outlineLevel="0" collapsed="false">
      <c r="A20" s="14" t="s">
        <v>216</v>
      </c>
      <c r="B20" s="14" t="s">
        <v>217</v>
      </c>
      <c r="C20" s="15" t="s">
        <v>218</v>
      </c>
      <c r="D20" s="15" t="s">
        <v>62</v>
      </c>
      <c r="E20" s="15" t="s">
        <v>219</v>
      </c>
      <c r="F20" s="16" t="s">
        <v>220</v>
      </c>
      <c r="G20" s="16" t="s">
        <v>221</v>
      </c>
      <c r="H20" s="16"/>
      <c r="I20" s="16" t="s">
        <v>222</v>
      </c>
      <c r="J20" s="17" t="n">
        <v>71580000315</v>
      </c>
      <c r="K20" s="15" t="s">
        <v>172</v>
      </c>
      <c r="L20" s="15"/>
      <c r="M20" s="16"/>
      <c r="N20" s="15" t="s">
        <v>174</v>
      </c>
      <c r="O20" s="16" t="s">
        <v>69</v>
      </c>
      <c r="P20" s="16" t="s">
        <v>140</v>
      </c>
      <c r="Q20" s="15" t="s">
        <v>69</v>
      </c>
      <c r="R20" s="16" t="s">
        <v>223</v>
      </c>
      <c r="S20" s="18" t="n">
        <v>43197</v>
      </c>
      <c r="T20" s="16" t="n">
        <v>2018</v>
      </c>
      <c r="U20" s="15" t="s">
        <v>224</v>
      </c>
      <c r="V20" s="16"/>
      <c r="W20" s="16" t="n">
        <v>38.351189</v>
      </c>
      <c r="X20" s="19" t="n">
        <v>-81.68129</v>
      </c>
      <c r="Y20" s="16" t="s">
        <v>100</v>
      </c>
      <c r="Z20" s="16" t="s">
        <v>101</v>
      </c>
      <c r="AA20" s="16" t="s">
        <v>127</v>
      </c>
      <c r="AB20" s="20" t="s">
        <v>69</v>
      </c>
      <c r="AC20" s="16" t="s">
        <v>128</v>
      </c>
      <c r="AD20" s="20" t="n">
        <v>43213</v>
      </c>
      <c r="AE20" s="20" t="n">
        <v>43303</v>
      </c>
      <c r="AF20" s="20" t="n">
        <v>43213</v>
      </c>
      <c r="AG20" s="16" t="s">
        <v>177</v>
      </c>
      <c r="AH20" s="16" t="s">
        <v>178</v>
      </c>
      <c r="AI20" s="16"/>
      <c r="AJ20" s="16" t="s">
        <v>225</v>
      </c>
      <c r="AK20" s="16" t="s">
        <v>226</v>
      </c>
      <c r="AL20" s="16" t="s">
        <v>121</v>
      </c>
      <c r="AM20" s="16"/>
      <c r="AN20" s="16" t="s">
        <v>227</v>
      </c>
      <c r="AO20" s="16" t="n">
        <v>76</v>
      </c>
      <c r="AP20" s="16" t="s">
        <v>85</v>
      </c>
      <c r="AQ20" s="20" t="n">
        <v>43556</v>
      </c>
      <c r="AR20" s="16"/>
      <c r="AS20" s="16" t="n">
        <v>30</v>
      </c>
      <c r="AT20" s="16" t="s">
        <v>87</v>
      </c>
      <c r="AU20" s="16" t="n">
        <v>18.22</v>
      </c>
      <c r="AV20" s="16" t="s">
        <v>87</v>
      </c>
    </row>
    <row r="21" customFormat="false" ht="15.75" hidden="false" customHeight="false" outlineLevel="0" collapsed="false">
      <c r="A21" s="14" t="s">
        <v>228</v>
      </c>
      <c r="B21" s="14" t="s">
        <v>217</v>
      </c>
      <c r="C21" s="15" t="s">
        <v>218</v>
      </c>
      <c r="D21" s="15" t="s">
        <v>62</v>
      </c>
      <c r="E21" s="15" t="s">
        <v>219</v>
      </c>
      <c r="F21" s="16" t="s">
        <v>220</v>
      </c>
      <c r="G21" s="16" t="s">
        <v>221</v>
      </c>
      <c r="H21" s="16"/>
      <c r="I21" s="16" t="s">
        <v>222</v>
      </c>
      <c r="J21" s="17" t="n">
        <v>72730222021</v>
      </c>
      <c r="K21" s="15" t="s">
        <v>172</v>
      </c>
      <c r="L21" s="15"/>
      <c r="M21" s="16"/>
      <c r="N21" s="15" t="s">
        <v>174</v>
      </c>
      <c r="O21" s="16" t="s">
        <v>69</v>
      </c>
      <c r="P21" s="16" t="s">
        <v>149</v>
      </c>
      <c r="Q21" s="15" t="s">
        <v>69</v>
      </c>
      <c r="R21" s="16" t="s">
        <v>229</v>
      </c>
      <c r="S21" s="18" t="n">
        <v>43205</v>
      </c>
      <c r="T21" s="16" t="n">
        <v>2018</v>
      </c>
      <c r="U21" s="15" t="s">
        <v>224</v>
      </c>
      <c r="V21" s="16"/>
      <c r="W21" s="16" t="n">
        <v>38.351189</v>
      </c>
      <c r="X21" s="16" t="n">
        <v>-81.638359</v>
      </c>
      <c r="Y21" s="16" t="s">
        <v>100</v>
      </c>
      <c r="Z21" s="16" t="s">
        <v>101</v>
      </c>
      <c r="AA21" s="16" t="s">
        <v>127</v>
      </c>
      <c r="AB21" s="20" t="s">
        <v>69</v>
      </c>
      <c r="AC21" s="16" t="s">
        <v>128</v>
      </c>
      <c r="AD21" s="20" t="n">
        <v>43221</v>
      </c>
      <c r="AE21" s="20" t="n">
        <v>43303</v>
      </c>
      <c r="AF21" s="20" t="n">
        <v>43213</v>
      </c>
      <c r="AG21" s="16" t="s">
        <v>177</v>
      </c>
      <c r="AH21" s="16" t="s">
        <v>178</v>
      </c>
      <c r="AI21" s="16"/>
      <c r="AJ21" s="16" t="s">
        <v>230</v>
      </c>
      <c r="AK21" s="16" t="s">
        <v>231</v>
      </c>
      <c r="AL21" s="16" t="s">
        <v>121</v>
      </c>
      <c r="AM21" s="16"/>
      <c r="AN21" s="16" t="n">
        <v>15021855</v>
      </c>
      <c r="AO21" s="16" t="n">
        <v>83</v>
      </c>
      <c r="AP21" s="16" t="s">
        <v>87</v>
      </c>
      <c r="AQ21" s="20" t="n">
        <v>43556</v>
      </c>
      <c r="AR21" s="16"/>
      <c r="AS21" s="16" t="n">
        <v>31</v>
      </c>
      <c r="AT21" s="16" t="s">
        <v>87</v>
      </c>
      <c r="AU21" s="16" t="n">
        <v>19.22</v>
      </c>
      <c r="AV21" s="16" t="s">
        <v>87</v>
      </c>
    </row>
    <row r="22" customFormat="false" ht="15.75" hidden="false" customHeight="false" outlineLevel="0" collapsed="false">
      <c r="A22" s="14" t="s">
        <v>232</v>
      </c>
      <c r="B22" s="14" t="s">
        <v>233</v>
      </c>
      <c r="C22" s="15" t="s">
        <v>234</v>
      </c>
      <c r="D22" s="15" t="s">
        <v>62</v>
      </c>
      <c r="E22" s="15" t="s">
        <v>235</v>
      </c>
      <c r="F22" s="16" t="s">
        <v>220</v>
      </c>
      <c r="G22" s="16" t="s">
        <v>236</v>
      </c>
      <c r="H22" s="16"/>
      <c r="I22" s="16" t="s">
        <v>222</v>
      </c>
      <c r="J22" s="17" t="n">
        <v>86854009185</v>
      </c>
      <c r="K22" s="15" t="s">
        <v>172</v>
      </c>
      <c r="L22" s="15"/>
      <c r="M22" s="16"/>
      <c r="N22" s="15" t="s">
        <v>174</v>
      </c>
      <c r="O22" s="16" t="s">
        <v>69</v>
      </c>
      <c r="P22" s="16" t="s">
        <v>157</v>
      </c>
      <c r="Q22" s="15" t="s">
        <v>69</v>
      </c>
      <c r="R22" s="16" t="s">
        <v>237</v>
      </c>
      <c r="S22" s="18" t="n">
        <v>43206</v>
      </c>
      <c r="T22" s="16" t="n">
        <v>2018</v>
      </c>
      <c r="U22" s="15" t="s">
        <v>224</v>
      </c>
      <c r="V22" s="16"/>
      <c r="W22" s="16" t="n">
        <v>38.351189</v>
      </c>
      <c r="X22" s="16" t="n">
        <v>-81.638359</v>
      </c>
      <c r="Y22" s="16" t="s">
        <v>238</v>
      </c>
      <c r="Z22" s="16" t="s">
        <v>101</v>
      </c>
      <c r="AA22" s="16" t="s">
        <v>127</v>
      </c>
      <c r="AB22" s="20" t="s">
        <v>69</v>
      </c>
      <c r="AC22" s="16" t="s">
        <v>128</v>
      </c>
      <c r="AD22" s="20" t="n">
        <v>43214</v>
      </c>
      <c r="AE22" s="20" t="n">
        <v>43303</v>
      </c>
      <c r="AF22" s="20" t="n">
        <v>43213</v>
      </c>
      <c r="AG22" s="16" t="s">
        <v>177</v>
      </c>
      <c r="AH22" s="16" t="s">
        <v>178</v>
      </c>
      <c r="AI22" s="16"/>
      <c r="AJ22" s="16" t="s">
        <v>239</v>
      </c>
      <c r="AK22" s="16" t="s">
        <v>240</v>
      </c>
      <c r="AL22" s="16" t="s">
        <v>193</v>
      </c>
      <c r="AM22" s="16"/>
      <c r="AN22" s="16" t="s">
        <v>241</v>
      </c>
      <c r="AO22" s="16" t="n">
        <v>12</v>
      </c>
      <c r="AP22" s="16" t="s">
        <v>85</v>
      </c>
      <c r="AQ22" s="20" t="n">
        <v>43556</v>
      </c>
      <c r="AR22" s="16"/>
      <c r="AS22" s="16" t="n">
        <v>32</v>
      </c>
      <c r="AT22" s="16" t="s">
        <v>87</v>
      </c>
      <c r="AU22" s="16" t="n">
        <v>20.22</v>
      </c>
      <c r="AV22" s="16" t="s">
        <v>87</v>
      </c>
    </row>
    <row r="23" customFormat="false" ht="15.75" hidden="false" customHeight="false" outlineLevel="0" collapsed="false">
      <c r="A23" s="14" t="s">
        <v>242</v>
      </c>
      <c r="B23" s="14" t="s">
        <v>233</v>
      </c>
      <c r="C23" s="15" t="s">
        <v>234</v>
      </c>
      <c r="D23" s="15" t="s">
        <v>62</v>
      </c>
      <c r="E23" s="15" t="s">
        <v>235</v>
      </c>
      <c r="F23" s="16" t="s">
        <v>220</v>
      </c>
      <c r="G23" s="16" t="s">
        <v>243</v>
      </c>
      <c r="H23" s="16"/>
      <c r="I23" s="16" t="s">
        <v>222</v>
      </c>
      <c r="J23" s="17" t="s">
        <v>244</v>
      </c>
      <c r="K23" s="15" t="s">
        <v>172</v>
      </c>
      <c r="L23" s="15"/>
      <c r="M23" s="16" t="s">
        <v>245</v>
      </c>
      <c r="N23" s="15" t="s">
        <v>174</v>
      </c>
      <c r="O23" s="16" t="s">
        <v>69</v>
      </c>
      <c r="P23" s="16" t="s">
        <v>246</v>
      </c>
      <c r="Q23" s="15" t="s">
        <v>69</v>
      </c>
      <c r="R23" s="16" t="s">
        <v>150</v>
      </c>
      <c r="S23" s="18" t="n">
        <v>43213</v>
      </c>
      <c r="T23" s="16" t="n">
        <v>2018</v>
      </c>
      <c r="U23" s="15" t="s">
        <v>224</v>
      </c>
      <c r="V23" s="16"/>
      <c r="W23" s="16" t="n">
        <v>38.351189</v>
      </c>
      <c r="X23" s="16" t="n">
        <v>-81.638343</v>
      </c>
      <c r="Y23" s="16" t="s">
        <v>238</v>
      </c>
      <c r="Z23" s="16" t="s">
        <v>101</v>
      </c>
      <c r="AA23" s="16" t="s">
        <v>127</v>
      </c>
      <c r="AB23" s="20" t="s">
        <v>69</v>
      </c>
      <c r="AC23" s="16" t="s">
        <v>128</v>
      </c>
      <c r="AD23" s="20" t="n">
        <v>43227</v>
      </c>
      <c r="AE23" s="20" t="n">
        <v>43303</v>
      </c>
      <c r="AF23" s="20" t="n">
        <v>43213</v>
      </c>
      <c r="AG23" s="16" t="s">
        <v>177</v>
      </c>
      <c r="AH23" s="16" t="s">
        <v>178</v>
      </c>
      <c r="AI23" s="16"/>
      <c r="AJ23" s="16" t="s">
        <v>247</v>
      </c>
      <c r="AK23" s="16" t="s">
        <v>248</v>
      </c>
      <c r="AL23" s="16" t="s">
        <v>193</v>
      </c>
      <c r="AM23" s="16"/>
      <c r="AN23" s="16" t="s">
        <v>249</v>
      </c>
      <c r="AO23" s="16" t="n">
        <v>24</v>
      </c>
      <c r="AP23" s="16" t="s">
        <v>85</v>
      </c>
      <c r="AQ23" s="20" t="n">
        <v>43556</v>
      </c>
      <c r="AR23" s="16"/>
      <c r="AS23" s="16" t="n">
        <v>33</v>
      </c>
      <c r="AT23" s="16" t="s">
        <v>87</v>
      </c>
      <c r="AU23" s="16" t="n">
        <v>21.22</v>
      </c>
      <c r="AV23" s="16" t="s">
        <v>87</v>
      </c>
    </row>
    <row r="24" customFormat="false" ht="15.75" hidden="false" customHeight="false" outlineLevel="0" collapsed="false">
      <c r="A24" s="14" t="s">
        <v>250</v>
      </c>
      <c r="B24" s="14" t="s">
        <v>251</v>
      </c>
      <c r="C24" s="15" t="s">
        <v>252</v>
      </c>
      <c r="D24" s="15" t="s">
        <v>62</v>
      </c>
      <c r="E24" s="15" t="s">
        <v>253</v>
      </c>
      <c r="F24" s="16" t="s">
        <v>220</v>
      </c>
      <c r="G24" s="16" t="s">
        <v>243</v>
      </c>
      <c r="H24" s="16"/>
      <c r="I24" s="16" t="s">
        <v>222</v>
      </c>
      <c r="J24" s="17" t="n">
        <v>717544204916</v>
      </c>
      <c r="K24" s="15" t="s">
        <v>172</v>
      </c>
      <c r="L24" s="15"/>
      <c r="M24" s="16" t="s">
        <v>245</v>
      </c>
      <c r="N24" s="15" t="s">
        <v>174</v>
      </c>
      <c r="O24" s="16" t="s">
        <v>69</v>
      </c>
      <c r="P24" s="16" t="s">
        <v>254</v>
      </c>
      <c r="Q24" s="15" t="s">
        <v>69</v>
      </c>
      <c r="R24" s="16" t="s">
        <v>98</v>
      </c>
      <c r="S24" s="18" t="n">
        <v>43214</v>
      </c>
      <c r="T24" s="16" t="n">
        <v>2018</v>
      </c>
      <c r="U24" s="15" t="s">
        <v>224</v>
      </c>
      <c r="V24" s="16"/>
      <c r="W24" s="16" t="n">
        <v>38.351923</v>
      </c>
      <c r="X24" s="16" t="n">
        <v>-81.638343</v>
      </c>
      <c r="Y24" s="16" t="s">
        <v>238</v>
      </c>
      <c r="Z24" s="16" t="s">
        <v>101</v>
      </c>
      <c r="AA24" s="16" t="s">
        <v>127</v>
      </c>
      <c r="AB24" s="20" t="s">
        <v>69</v>
      </c>
      <c r="AC24" s="16" t="s">
        <v>128</v>
      </c>
      <c r="AD24" s="20" t="n">
        <v>43226</v>
      </c>
      <c r="AE24" s="20" t="n">
        <v>43303</v>
      </c>
      <c r="AF24" s="20" t="n">
        <v>43213</v>
      </c>
      <c r="AG24" s="16" t="s">
        <v>177</v>
      </c>
      <c r="AH24" s="16" t="s">
        <v>178</v>
      </c>
      <c r="AI24" s="16"/>
      <c r="AJ24" s="16" t="s">
        <v>255</v>
      </c>
      <c r="AK24" s="16" t="s">
        <v>256</v>
      </c>
      <c r="AL24" s="16" t="s">
        <v>193</v>
      </c>
      <c r="AM24" s="16"/>
      <c r="AN24" s="16" t="s">
        <v>257</v>
      </c>
      <c r="AO24" s="16" t="n">
        <v>34</v>
      </c>
      <c r="AP24" s="16" t="s">
        <v>85</v>
      </c>
      <c r="AQ24" s="20" t="n">
        <v>43556</v>
      </c>
      <c r="AR24" s="16"/>
      <c r="AS24" s="16" t="n">
        <v>34</v>
      </c>
      <c r="AT24" s="16" t="s">
        <v>87</v>
      </c>
      <c r="AU24" s="16" t="n">
        <v>22.22</v>
      </c>
      <c r="AV24" s="16" t="s">
        <v>87</v>
      </c>
    </row>
    <row r="25" customFormat="false" ht="15.75" hidden="false" customHeight="false" outlineLevel="0" collapsed="false">
      <c r="A25" s="14" t="s">
        <v>258</v>
      </c>
      <c r="B25" s="14" t="s">
        <v>259</v>
      </c>
      <c r="C25" s="15" t="s">
        <v>252</v>
      </c>
      <c r="D25" s="15" t="s">
        <v>62</v>
      </c>
      <c r="E25" s="15" t="s">
        <v>253</v>
      </c>
      <c r="F25" s="16" t="s">
        <v>220</v>
      </c>
      <c r="G25" s="16" t="s">
        <v>243</v>
      </c>
      <c r="H25" s="16"/>
      <c r="I25" s="16" t="s">
        <v>222</v>
      </c>
      <c r="J25" s="17" t="n">
        <v>72036639998</v>
      </c>
      <c r="K25" s="15" t="s">
        <v>172</v>
      </c>
      <c r="L25" s="15"/>
      <c r="M25" s="16" t="s">
        <v>245</v>
      </c>
      <c r="N25" s="15" t="s">
        <v>174</v>
      </c>
      <c r="O25" s="16" t="s">
        <v>69</v>
      </c>
      <c r="P25" s="16" t="s">
        <v>89</v>
      </c>
      <c r="Q25" s="15" t="s">
        <v>69</v>
      </c>
      <c r="R25" s="16" t="s">
        <v>260</v>
      </c>
      <c r="S25" s="18" t="n">
        <v>43213</v>
      </c>
      <c r="T25" s="16" t="n">
        <v>2018</v>
      </c>
      <c r="U25" s="15" t="s">
        <v>224</v>
      </c>
      <c r="V25" s="16"/>
      <c r="W25" s="16" t="n">
        <v>38.351189</v>
      </c>
      <c r="X25" s="16" t="n">
        <v>-81.63823</v>
      </c>
      <c r="Y25" s="16" t="s">
        <v>238</v>
      </c>
      <c r="Z25" s="16" t="s">
        <v>101</v>
      </c>
      <c r="AA25" s="16" t="s">
        <v>127</v>
      </c>
      <c r="AB25" s="20" t="s">
        <v>69</v>
      </c>
      <c r="AC25" s="16" t="s">
        <v>128</v>
      </c>
      <c r="AD25" s="20" t="n">
        <v>43223</v>
      </c>
      <c r="AE25" s="20" t="n">
        <v>43303</v>
      </c>
      <c r="AF25" s="20" t="n">
        <v>43213</v>
      </c>
      <c r="AG25" s="16" t="s">
        <v>177</v>
      </c>
      <c r="AH25" s="16" t="s">
        <v>178</v>
      </c>
      <c r="AI25" s="16"/>
      <c r="AJ25" s="16" t="s">
        <v>261</v>
      </c>
      <c r="AK25" s="16" t="s">
        <v>262</v>
      </c>
      <c r="AL25" s="16" t="s">
        <v>193</v>
      </c>
      <c r="AM25" s="16"/>
      <c r="AN25" s="16" t="n">
        <v>3708713543</v>
      </c>
      <c r="AO25" s="16" t="n">
        <v>76</v>
      </c>
      <c r="AP25" s="16" t="s">
        <v>85</v>
      </c>
      <c r="AQ25" s="20" t="n">
        <v>43556</v>
      </c>
      <c r="AR25" s="16"/>
      <c r="AS25" s="16" t="n">
        <v>35</v>
      </c>
      <c r="AT25" s="16" t="s">
        <v>87</v>
      </c>
      <c r="AU25" s="16" t="n">
        <v>23.22</v>
      </c>
      <c r="AV25" s="16" t="s">
        <v>87</v>
      </c>
    </row>
    <row r="26" customFormat="false" ht="15.75" hidden="false" customHeight="false" outlineLevel="0" collapsed="false">
      <c r="A26" s="14" t="s">
        <v>263</v>
      </c>
      <c r="B26" s="14" t="s">
        <v>264</v>
      </c>
      <c r="C26" s="15" t="s">
        <v>252</v>
      </c>
      <c r="D26" s="15" t="s">
        <v>62</v>
      </c>
      <c r="E26" s="15" t="s">
        <v>265</v>
      </c>
      <c r="F26" s="16" t="s">
        <v>266</v>
      </c>
      <c r="G26" s="16"/>
      <c r="H26" s="16" t="s">
        <v>267</v>
      </c>
      <c r="I26" s="16" t="s">
        <v>268</v>
      </c>
      <c r="J26" s="17" t="n">
        <v>38259101131</v>
      </c>
      <c r="K26" s="15" t="s">
        <v>269</v>
      </c>
      <c r="L26" s="15" t="s">
        <v>270</v>
      </c>
      <c r="M26" s="16"/>
      <c r="N26" s="15" t="s">
        <v>174</v>
      </c>
      <c r="O26" s="16" t="s">
        <v>69</v>
      </c>
      <c r="P26" s="16" t="s">
        <v>97</v>
      </c>
      <c r="Q26" s="15" t="s">
        <v>69</v>
      </c>
      <c r="R26" s="16" t="s">
        <v>271</v>
      </c>
      <c r="S26" s="18" t="n">
        <v>43213</v>
      </c>
      <c r="T26" s="16" t="n">
        <v>2018</v>
      </c>
      <c r="U26" s="15" t="s">
        <v>72</v>
      </c>
      <c r="V26" s="16" t="s">
        <v>141</v>
      </c>
      <c r="W26" s="16" t="n">
        <v>38.351189</v>
      </c>
      <c r="X26" s="16" t="n">
        <v>-81.638343</v>
      </c>
      <c r="Y26" s="16" t="s">
        <v>238</v>
      </c>
      <c r="Z26" s="16" t="s">
        <v>101</v>
      </c>
      <c r="AA26" s="16" t="s">
        <v>127</v>
      </c>
      <c r="AB26" s="20" t="s">
        <v>69</v>
      </c>
      <c r="AC26" s="16" t="s">
        <v>128</v>
      </c>
      <c r="AD26" s="20" t="n">
        <v>43227</v>
      </c>
      <c r="AE26" s="20" t="n">
        <v>43303</v>
      </c>
      <c r="AF26" s="20" t="n">
        <v>43213</v>
      </c>
      <c r="AG26" s="16" t="s">
        <v>272</v>
      </c>
      <c r="AH26" s="16" t="s">
        <v>273</v>
      </c>
      <c r="AI26" s="16" t="s">
        <v>274</v>
      </c>
      <c r="AJ26" s="16" t="s">
        <v>275</v>
      </c>
      <c r="AK26" s="16" t="s">
        <v>276</v>
      </c>
      <c r="AL26" s="16" t="s">
        <v>193</v>
      </c>
      <c r="AM26" s="16" t="s">
        <v>277</v>
      </c>
      <c r="AN26" s="16" t="s">
        <v>106</v>
      </c>
      <c r="AO26" s="16" t="n">
        <v>83</v>
      </c>
      <c r="AP26" s="16" t="s">
        <v>87</v>
      </c>
      <c r="AQ26" s="20" t="n">
        <v>43556</v>
      </c>
      <c r="AR26" s="16"/>
      <c r="AS26" s="16" t="n">
        <v>36</v>
      </c>
      <c r="AT26" s="16" t="s">
        <v>87</v>
      </c>
      <c r="AU26" s="16" t="n">
        <v>24.22</v>
      </c>
      <c r="AV26" s="16" t="s">
        <v>87</v>
      </c>
    </row>
    <row r="27" customFormat="false" ht="15.75" hidden="false" customHeight="false" outlineLevel="0" collapsed="false">
      <c r="A27" s="14" t="s">
        <v>278</v>
      </c>
      <c r="B27" s="14" t="s">
        <v>264</v>
      </c>
      <c r="C27" s="15" t="s">
        <v>252</v>
      </c>
      <c r="D27" s="15" t="s">
        <v>62</v>
      </c>
      <c r="E27" s="15" t="s">
        <v>265</v>
      </c>
      <c r="F27" s="16" t="s">
        <v>266</v>
      </c>
      <c r="G27" s="16"/>
      <c r="H27" s="16" t="s">
        <v>267</v>
      </c>
      <c r="I27" s="16" t="s">
        <v>268</v>
      </c>
      <c r="J27" s="17" t="n">
        <v>688267008634</v>
      </c>
      <c r="K27" s="15" t="s">
        <v>269</v>
      </c>
      <c r="L27" s="15" t="s">
        <v>270</v>
      </c>
      <c r="M27" s="16"/>
      <c r="N27" s="15" t="s">
        <v>174</v>
      </c>
      <c r="O27" s="16" t="s">
        <v>69</v>
      </c>
      <c r="P27" s="16" t="s">
        <v>109</v>
      </c>
      <c r="Q27" s="15" t="s">
        <v>69</v>
      </c>
      <c r="R27" s="16" t="s">
        <v>279</v>
      </c>
      <c r="S27" s="18" t="n">
        <v>43220</v>
      </c>
      <c r="T27" s="16" t="n">
        <v>2018</v>
      </c>
      <c r="U27" s="15" t="s">
        <v>72</v>
      </c>
      <c r="V27" s="16" t="s">
        <v>280</v>
      </c>
      <c r="W27" s="16" t="n">
        <v>38.351923</v>
      </c>
      <c r="X27" s="16" t="n">
        <v>-81.638343</v>
      </c>
      <c r="Y27" s="16" t="s">
        <v>238</v>
      </c>
      <c r="Z27" s="16" t="s">
        <v>101</v>
      </c>
      <c r="AA27" s="16" t="s">
        <v>127</v>
      </c>
      <c r="AB27" s="20" t="s">
        <v>69</v>
      </c>
      <c r="AC27" s="16" t="s">
        <v>128</v>
      </c>
      <c r="AD27" s="20" t="n">
        <v>43230</v>
      </c>
      <c r="AE27" s="20" t="n">
        <v>43303</v>
      </c>
      <c r="AF27" s="20" t="n">
        <v>43213</v>
      </c>
      <c r="AG27" s="16" t="s">
        <v>272</v>
      </c>
      <c r="AH27" s="16" t="s">
        <v>273</v>
      </c>
      <c r="AI27" s="16" t="s">
        <v>274</v>
      </c>
      <c r="AJ27" s="16" t="s">
        <v>281</v>
      </c>
      <c r="AK27" s="16" t="s">
        <v>282</v>
      </c>
      <c r="AL27" s="16" t="s">
        <v>193</v>
      </c>
      <c r="AM27" s="16" t="s">
        <v>283</v>
      </c>
      <c r="AN27" s="16" t="n">
        <v>341594258</v>
      </c>
      <c r="AO27" s="16" t="n">
        <v>12</v>
      </c>
      <c r="AP27" s="16" t="s">
        <v>85</v>
      </c>
      <c r="AQ27" s="20" t="n">
        <v>43556</v>
      </c>
      <c r="AR27" s="16"/>
      <c r="AS27" s="16" t="n">
        <v>37</v>
      </c>
      <c r="AT27" s="16" t="s">
        <v>87</v>
      </c>
      <c r="AU27" s="16" t="n">
        <v>25.22</v>
      </c>
      <c r="AV27" s="16" t="s">
        <v>87</v>
      </c>
    </row>
    <row r="28" customFormat="false" ht="15.75" hidden="false" customHeight="false" outlineLevel="0" collapsed="false">
      <c r="A28" s="14" t="s">
        <v>284</v>
      </c>
      <c r="B28" s="14" t="s">
        <v>264</v>
      </c>
      <c r="C28" s="15" t="s">
        <v>252</v>
      </c>
      <c r="D28" s="15" t="s">
        <v>62</v>
      </c>
      <c r="E28" s="15" t="s">
        <v>265</v>
      </c>
      <c r="F28" s="16" t="s">
        <v>266</v>
      </c>
      <c r="G28" s="16"/>
      <c r="H28" s="16" t="s">
        <v>267</v>
      </c>
      <c r="I28" s="16" t="s">
        <v>268</v>
      </c>
      <c r="J28" s="17" t="n">
        <v>21130070671</v>
      </c>
      <c r="K28" s="15" t="s">
        <v>269</v>
      </c>
      <c r="L28" s="15" t="s">
        <v>270</v>
      </c>
      <c r="M28" s="16"/>
      <c r="N28" s="15" t="s">
        <v>174</v>
      </c>
      <c r="O28" s="16" t="s">
        <v>69</v>
      </c>
      <c r="P28" s="16" t="s">
        <v>116</v>
      </c>
      <c r="Q28" s="15" t="s">
        <v>69</v>
      </c>
      <c r="R28" s="16" t="s">
        <v>285</v>
      </c>
      <c r="S28" s="18" t="n">
        <v>43220</v>
      </c>
      <c r="T28" s="16" t="n">
        <v>2018</v>
      </c>
      <c r="U28" s="15" t="s">
        <v>72</v>
      </c>
      <c r="V28" s="16" t="s">
        <v>286</v>
      </c>
      <c r="W28" s="16" t="n">
        <v>38.351189</v>
      </c>
      <c r="X28" s="16" t="n">
        <v>-81.638359</v>
      </c>
      <c r="Y28" s="16" t="s">
        <v>238</v>
      </c>
      <c r="Z28" s="16" t="s">
        <v>101</v>
      </c>
      <c r="AA28" s="16" t="s">
        <v>127</v>
      </c>
      <c r="AB28" s="20" t="s">
        <v>69</v>
      </c>
      <c r="AC28" s="16" t="s">
        <v>128</v>
      </c>
      <c r="AD28" s="20" t="n">
        <v>43237</v>
      </c>
      <c r="AE28" s="20" t="n">
        <v>43303</v>
      </c>
      <c r="AF28" s="20" t="n">
        <v>43213</v>
      </c>
      <c r="AG28" s="16" t="s">
        <v>272</v>
      </c>
      <c r="AH28" s="16" t="s">
        <v>273</v>
      </c>
      <c r="AI28" s="16" t="s">
        <v>274</v>
      </c>
      <c r="AJ28" s="16" t="s">
        <v>287</v>
      </c>
      <c r="AK28" s="16" t="s">
        <v>288</v>
      </c>
      <c r="AL28" s="16" t="s">
        <v>193</v>
      </c>
      <c r="AM28" s="16" t="s">
        <v>289</v>
      </c>
      <c r="AN28" s="16" t="s">
        <v>290</v>
      </c>
      <c r="AO28" s="16" t="n">
        <v>24</v>
      </c>
      <c r="AP28" s="16" t="s">
        <v>85</v>
      </c>
      <c r="AQ28" s="20" t="n">
        <v>43556</v>
      </c>
      <c r="AR28" s="16"/>
      <c r="AS28" s="16" t="n">
        <v>38</v>
      </c>
      <c r="AT28" s="16" t="s">
        <v>87</v>
      </c>
      <c r="AU28" s="16" t="n">
        <v>26.22</v>
      </c>
      <c r="AV28" s="16" t="s">
        <v>87</v>
      </c>
    </row>
    <row r="29" customFormat="false" ht="15.75" hidden="false" customHeight="false" outlineLevel="0" collapsed="false">
      <c r="A29" s="14" t="s">
        <v>291</v>
      </c>
      <c r="B29" s="14" t="s">
        <v>264</v>
      </c>
      <c r="C29" s="15" t="s">
        <v>252</v>
      </c>
      <c r="D29" s="15" t="s">
        <v>62</v>
      </c>
      <c r="E29" s="15" t="s">
        <v>265</v>
      </c>
      <c r="F29" s="16" t="s">
        <v>266</v>
      </c>
      <c r="G29" s="16"/>
      <c r="H29" s="16" t="s">
        <v>267</v>
      </c>
      <c r="I29" s="16" t="s">
        <v>268</v>
      </c>
      <c r="J29" s="17" t="n">
        <v>85239284025</v>
      </c>
      <c r="K29" s="15" t="s">
        <v>269</v>
      </c>
      <c r="L29" s="15" t="s">
        <v>270</v>
      </c>
      <c r="M29" s="16"/>
      <c r="N29" s="15" t="s">
        <v>174</v>
      </c>
      <c r="O29" s="16" t="s">
        <v>69</v>
      </c>
      <c r="P29" s="16" t="s">
        <v>124</v>
      </c>
      <c r="Q29" s="15" t="s">
        <v>69</v>
      </c>
      <c r="R29" s="16" t="s">
        <v>292</v>
      </c>
      <c r="S29" s="18" t="n">
        <v>43212</v>
      </c>
      <c r="T29" s="16" t="n">
        <v>2018</v>
      </c>
      <c r="U29" s="15" t="s">
        <v>72</v>
      </c>
      <c r="V29" s="16" t="s">
        <v>293</v>
      </c>
      <c r="W29" s="16" t="n">
        <v>38.351923</v>
      </c>
      <c r="X29" s="16" t="n">
        <v>-81.638359</v>
      </c>
      <c r="Y29" s="16" t="s">
        <v>238</v>
      </c>
      <c r="Z29" s="16" t="s">
        <v>101</v>
      </c>
      <c r="AA29" s="16" t="s">
        <v>127</v>
      </c>
      <c r="AB29" s="20" t="s">
        <v>69</v>
      </c>
      <c r="AC29" s="16" t="s">
        <v>128</v>
      </c>
      <c r="AD29" s="20" t="n">
        <v>43227</v>
      </c>
      <c r="AE29" s="20" t="n">
        <v>43303</v>
      </c>
      <c r="AF29" s="20" t="n">
        <v>43213</v>
      </c>
      <c r="AG29" s="16" t="s">
        <v>272</v>
      </c>
      <c r="AH29" s="16" t="s">
        <v>273</v>
      </c>
      <c r="AI29" s="16" t="s">
        <v>274</v>
      </c>
      <c r="AJ29" s="16" t="s">
        <v>294</v>
      </c>
      <c r="AK29" s="16" t="s">
        <v>295</v>
      </c>
      <c r="AL29" s="16" t="s">
        <v>193</v>
      </c>
      <c r="AM29" s="16" t="s">
        <v>296</v>
      </c>
      <c r="AN29" s="16" t="s">
        <v>297</v>
      </c>
      <c r="AO29" s="16" t="n">
        <v>34</v>
      </c>
      <c r="AP29" s="16" t="s">
        <v>85</v>
      </c>
      <c r="AQ29" s="20" t="n">
        <v>43556</v>
      </c>
      <c r="AR29" s="16"/>
      <c r="AS29" s="16" t="n">
        <v>39</v>
      </c>
      <c r="AT29" s="16" t="s">
        <v>87</v>
      </c>
      <c r="AU29" s="16" t="n">
        <v>27.22</v>
      </c>
      <c r="AV29" s="16" t="s">
        <v>87</v>
      </c>
    </row>
    <row r="30" customFormat="false" ht="15.75" hidden="false" customHeight="false" outlineLevel="0" collapsed="false">
      <c r="A30" s="14" t="s">
        <v>298</v>
      </c>
      <c r="B30" s="14" t="s">
        <v>264</v>
      </c>
      <c r="C30" s="15" t="s">
        <v>252</v>
      </c>
      <c r="D30" s="15" t="s">
        <v>62</v>
      </c>
      <c r="E30" s="15" t="s">
        <v>265</v>
      </c>
      <c r="F30" s="16" t="s">
        <v>266</v>
      </c>
      <c r="G30" s="16"/>
      <c r="H30" s="16"/>
      <c r="I30" s="16" t="s">
        <v>268</v>
      </c>
      <c r="J30" s="17" t="n">
        <v>35826089779</v>
      </c>
      <c r="K30" s="15" t="s">
        <v>269</v>
      </c>
      <c r="L30" s="15" t="s">
        <v>270</v>
      </c>
      <c r="M30" s="16"/>
      <c r="N30" s="15" t="s">
        <v>174</v>
      </c>
      <c r="O30" s="16" t="s">
        <v>69</v>
      </c>
      <c r="P30" s="16" t="s">
        <v>299</v>
      </c>
      <c r="Q30" s="15" t="s">
        <v>69</v>
      </c>
      <c r="R30" s="16" t="s">
        <v>260</v>
      </c>
      <c r="S30" s="18" t="n">
        <v>43206</v>
      </c>
      <c r="T30" s="16" t="n">
        <v>2018</v>
      </c>
      <c r="U30" s="15" t="s">
        <v>72</v>
      </c>
      <c r="V30" s="16" t="s">
        <v>300</v>
      </c>
      <c r="W30" s="16" t="n">
        <v>38.351189</v>
      </c>
      <c r="X30" s="16" t="n">
        <v>-81.638359</v>
      </c>
      <c r="Y30" s="16" t="s">
        <v>238</v>
      </c>
      <c r="Z30" s="16" t="s">
        <v>101</v>
      </c>
      <c r="AA30" s="16" t="s">
        <v>127</v>
      </c>
      <c r="AB30" s="20" t="s">
        <v>69</v>
      </c>
      <c r="AC30" s="16" t="s">
        <v>128</v>
      </c>
      <c r="AD30" s="20" t="n">
        <v>43222</v>
      </c>
      <c r="AE30" s="20" t="n">
        <v>43303</v>
      </c>
      <c r="AF30" s="20" t="n">
        <v>43213</v>
      </c>
      <c r="AG30" s="16" t="s">
        <v>272</v>
      </c>
      <c r="AH30" s="16" t="s">
        <v>273</v>
      </c>
      <c r="AI30" s="16" t="s">
        <v>274</v>
      </c>
      <c r="AJ30" s="16" t="s">
        <v>301</v>
      </c>
      <c r="AK30" s="16" t="s">
        <v>302</v>
      </c>
      <c r="AL30" s="16" t="s">
        <v>193</v>
      </c>
      <c r="AM30" s="16" t="s">
        <v>303</v>
      </c>
      <c r="AN30" s="16" t="s">
        <v>304</v>
      </c>
      <c r="AO30" s="16" t="n">
        <v>76</v>
      </c>
      <c r="AP30" s="16" t="s">
        <v>85</v>
      </c>
      <c r="AQ30" s="20" t="n">
        <v>43556</v>
      </c>
      <c r="AR30" s="16"/>
      <c r="AS30" s="16" t="n">
        <v>40</v>
      </c>
      <c r="AT30" s="16" t="s">
        <v>87</v>
      </c>
      <c r="AU30" s="16" t="n">
        <v>28.22</v>
      </c>
      <c r="AV30" s="16" t="s">
        <v>87</v>
      </c>
    </row>
    <row r="31" customFormat="false" ht="15.75" hidden="false" customHeight="false" outlineLevel="0" collapsed="false">
      <c r="A31" s="14" t="s">
        <v>305</v>
      </c>
      <c r="B31" s="14" t="s">
        <v>264</v>
      </c>
      <c r="C31" s="15" t="s">
        <v>252</v>
      </c>
      <c r="D31" s="15" t="s">
        <v>62</v>
      </c>
      <c r="E31" s="15" t="s">
        <v>265</v>
      </c>
      <c r="F31" s="16" t="s">
        <v>266</v>
      </c>
      <c r="G31" s="16"/>
      <c r="H31" s="16"/>
      <c r="I31" s="16" t="s">
        <v>268</v>
      </c>
      <c r="J31" s="17" t="n">
        <v>31903000804</v>
      </c>
      <c r="K31" s="15" t="s">
        <v>269</v>
      </c>
      <c r="L31" s="15" t="s">
        <v>270</v>
      </c>
      <c r="M31" s="16"/>
      <c r="N31" s="15" t="s">
        <v>174</v>
      </c>
      <c r="O31" s="16" t="s">
        <v>69</v>
      </c>
      <c r="P31" s="16" t="s">
        <v>306</v>
      </c>
      <c r="Q31" s="15" t="s">
        <v>69</v>
      </c>
      <c r="R31" s="16" t="s">
        <v>307</v>
      </c>
      <c r="S31" s="18" t="n">
        <v>43205</v>
      </c>
      <c r="T31" s="16" t="n">
        <v>2018</v>
      </c>
      <c r="U31" s="15" t="s">
        <v>72</v>
      </c>
      <c r="V31" s="16" t="s">
        <v>308</v>
      </c>
      <c r="W31" s="16" t="n">
        <v>38.351189</v>
      </c>
      <c r="X31" s="16" t="n">
        <v>-81.638359</v>
      </c>
      <c r="Y31" s="16" t="s">
        <v>238</v>
      </c>
      <c r="Z31" s="16" t="s">
        <v>101</v>
      </c>
      <c r="AA31" s="16" t="s">
        <v>127</v>
      </c>
      <c r="AB31" s="20" t="s">
        <v>69</v>
      </c>
      <c r="AC31" s="16" t="s">
        <v>128</v>
      </c>
      <c r="AD31" s="20" t="n">
        <v>43221</v>
      </c>
      <c r="AE31" s="20" t="n">
        <v>43303</v>
      </c>
      <c r="AF31" s="20" t="n">
        <v>43213</v>
      </c>
      <c r="AG31" s="16" t="s">
        <v>272</v>
      </c>
      <c r="AH31" s="16" t="s">
        <v>273</v>
      </c>
      <c r="AI31" s="16" t="s">
        <v>274</v>
      </c>
      <c r="AJ31" s="16" t="s">
        <v>309</v>
      </c>
      <c r="AK31" s="16" t="s">
        <v>310</v>
      </c>
      <c r="AL31" s="16" t="s">
        <v>311</v>
      </c>
      <c r="AM31" s="16" t="s">
        <v>312</v>
      </c>
      <c r="AN31" s="16" t="s">
        <v>313</v>
      </c>
      <c r="AO31" s="16" t="n">
        <v>83</v>
      </c>
      <c r="AP31" s="16" t="s">
        <v>87</v>
      </c>
      <c r="AQ31" s="20" t="n">
        <v>43556</v>
      </c>
      <c r="AR31" s="16" t="s">
        <v>86</v>
      </c>
      <c r="AS31" s="16" t="n">
        <v>41</v>
      </c>
      <c r="AT31" s="16" t="s">
        <v>87</v>
      </c>
      <c r="AU31" s="16" t="n">
        <v>29.22</v>
      </c>
      <c r="AV31" s="16" t="s">
        <v>87</v>
      </c>
    </row>
    <row r="32" customFormat="false" ht="15.75" hidden="false" customHeight="false" outlineLevel="0" collapsed="false">
      <c r="A32" s="14" t="s">
        <v>314</v>
      </c>
      <c r="B32" s="14" t="s">
        <v>264</v>
      </c>
      <c r="C32" s="15" t="s">
        <v>252</v>
      </c>
      <c r="D32" s="15" t="s">
        <v>62</v>
      </c>
      <c r="E32" s="15" t="s">
        <v>265</v>
      </c>
      <c r="F32" s="16" t="s">
        <v>266</v>
      </c>
      <c r="G32" s="16"/>
      <c r="H32" s="16"/>
      <c r="I32" s="16" t="s">
        <v>268</v>
      </c>
      <c r="J32" s="17" t="n">
        <v>41900076634</v>
      </c>
      <c r="K32" s="15" t="s">
        <v>269</v>
      </c>
      <c r="L32" s="15" t="s">
        <v>270</v>
      </c>
      <c r="M32" s="16"/>
      <c r="N32" s="15" t="s">
        <v>174</v>
      </c>
      <c r="O32" s="16" t="s">
        <v>69</v>
      </c>
      <c r="P32" s="16" t="s">
        <v>315</v>
      </c>
      <c r="Q32" s="15" t="s">
        <v>69</v>
      </c>
      <c r="R32" s="16" t="s">
        <v>316</v>
      </c>
      <c r="S32" s="18" t="n">
        <v>43213</v>
      </c>
      <c r="T32" s="16" t="n">
        <v>2018</v>
      </c>
      <c r="U32" s="15" t="s">
        <v>72</v>
      </c>
      <c r="V32" s="16" t="s">
        <v>317</v>
      </c>
      <c r="W32" s="16" t="n">
        <v>38.351189</v>
      </c>
      <c r="X32" s="16" t="n">
        <v>-81.638359</v>
      </c>
      <c r="Y32" s="16" t="s">
        <v>238</v>
      </c>
      <c r="Z32" s="16" t="s">
        <v>101</v>
      </c>
      <c r="AA32" s="16" t="s">
        <v>127</v>
      </c>
      <c r="AB32" s="20" t="s">
        <v>69</v>
      </c>
      <c r="AC32" s="16" t="s">
        <v>128</v>
      </c>
      <c r="AD32" s="20" t="n">
        <v>43229</v>
      </c>
      <c r="AE32" s="20" t="n">
        <v>43303</v>
      </c>
      <c r="AF32" s="20" t="n">
        <v>43213</v>
      </c>
      <c r="AG32" s="16" t="s">
        <v>272</v>
      </c>
      <c r="AH32" s="16" t="s">
        <v>273</v>
      </c>
      <c r="AI32" s="16" t="s">
        <v>274</v>
      </c>
      <c r="AJ32" s="16" t="s">
        <v>318</v>
      </c>
      <c r="AK32" s="16" t="s">
        <v>319</v>
      </c>
      <c r="AL32" s="16" t="s">
        <v>311</v>
      </c>
      <c r="AM32" s="16" t="s">
        <v>320</v>
      </c>
      <c r="AN32" s="16" t="n">
        <v>17383201435</v>
      </c>
      <c r="AO32" s="16" t="n">
        <v>12</v>
      </c>
      <c r="AP32" s="16" t="s">
        <v>85</v>
      </c>
      <c r="AQ32" s="20" t="n">
        <v>43556</v>
      </c>
      <c r="AR32" s="16"/>
      <c r="AS32" s="16" t="n">
        <v>42</v>
      </c>
      <c r="AT32" s="16" t="s">
        <v>87</v>
      </c>
      <c r="AU32" s="16" t="n">
        <v>30.22</v>
      </c>
      <c r="AV32" s="16" t="s">
        <v>87</v>
      </c>
    </row>
    <row r="33" customFormat="false" ht="15.75" hidden="false" customHeight="false" outlineLevel="0" collapsed="false">
      <c r="A33" s="14" t="s">
        <v>321</v>
      </c>
      <c r="B33" s="14" t="s">
        <v>264</v>
      </c>
      <c r="C33" s="15" t="s">
        <v>252</v>
      </c>
      <c r="D33" s="15" t="s">
        <v>62</v>
      </c>
      <c r="E33" s="15" t="s">
        <v>265</v>
      </c>
      <c r="F33" s="16" t="s">
        <v>266</v>
      </c>
      <c r="G33" s="16"/>
      <c r="H33" s="16"/>
      <c r="I33" s="16" t="s">
        <v>268</v>
      </c>
      <c r="J33" s="17" t="n">
        <v>11110415646</v>
      </c>
      <c r="K33" s="15" t="s">
        <v>269</v>
      </c>
      <c r="L33" s="15" t="s">
        <v>270</v>
      </c>
      <c r="M33" s="16"/>
      <c r="N33" s="15" t="s">
        <v>174</v>
      </c>
      <c r="O33" s="16" t="s">
        <v>69</v>
      </c>
      <c r="P33" s="16" t="s">
        <v>322</v>
      </c>
      <c r="Q33" s="15" t="s">
        <v>69</v>
      </c>
      <c r="R33" s="16" t="s">
        <v>323</v>
      </c>
      <c r="S33" s="18" t="n">
        <v>43219</v>
      </c>
      <c r="T33" s="16" t="n">
        <v>2018</v>
      </c>
      <c r="U33" s="15" t="s">
        <v>72</v>
      </c>
      <c r="V33" s="16" t="s">
        <v>324</v>
      </c>
      <c r="W33" s="16" t="n">
        <v>38.351189</v>
      </c>
      <c r="X33" s="16" t="n">
        <v>-81.638329</v>
      </c>
      <c r="Y33" s="16" t="s">
        <v>238</v>
      </c>
      <c r="Z33" s="16" t="s">
        <v>101</v>
      </c>
      <c r="AA33" s="16" t="s">
        <v>127</v>
      </c>
      <c r="AB33" s="20" t="s">
        <v>69</v>
      </c>
      <c r="AC33" s="16" t="s">
        <v>128</v>
      </c>
      <c r="AD33" s="20" t="n">
        <v>43232</v>
      </c>
      <c r="AE33" s="20" t="n">
        <v>43303</v>
      </c>
      <c r="AF33" s="20" t="n">
        <v>43213</v>
      </c>
      <c r="AG33" s="16" t="s">
        <v>272</v>
      </c>
      <c r="AH33" s="16" t="s">
        <v>273</v>
      </c>
      <c r="AI33" s="16" t="s">
        <v>274</v>
      </c>
      <c r="AJ33" s="16" t="s">
        <v>325</v>
      </c>
      <c r="AK33" s="16" t="s">
        <v>326</v>
      </c>
      <c r="AL33" s="16" t="s">
        <v>311</v>
      </c>
      <c r="AM33" s="16" t="s">
        <v>327</v>
      </c>
      <c r="AN33" s="16" t="s">
        <v>328</v>
      </c>
      <c r="AO33" s="16" t="n">
        <v>24</v>
      </c>
      <c r="AP33" s="16" t="s">
        <v>85</v>
      </c>
      <c r="AQ33" s="20" t="n">
        <v>43556</v>
      </c>
      <c r="AR33" s="16"/>
      <c r="AS33" s="16" t="n">
        <v>12</v>
      </c>
      <c r="AT33" s="16" t="s">
        <v>87</v>
      </c>
      <c r="AU33" s="16" t="n">
        <v>31.22</v>
      </c>
      <c r="AV33" s="16" t="s">
        <v>87</v>
      </c>
    </row>
    <row r="34" customFormat="false" ht="15.75" hidden="false" customHeight="false" outlineLevel="0" collapsed="false">
      <c r="A34" s="14" t="s">
        <v>329</v>
      </c>
      <c r="B34" s="14" t="s">
        <v>264</v>
      </c>
      <c r="C34" s="15" t="s">
        <v>252</v>
      </c>
      <c r="D34" s="15" t="s">
        <v>62</v>
      </c>
      <c r="E34" s="15" t="s">
        <v>265</v>
      </c>
      <c r="F34" s="16" t="s">
        <v>266</v>
      </c>
      <c r="G34" s="16"/>
      <c r="H34" s="16"/>
      <c r="I34" s="16" t="s">
        <v>268</v>
      </c>
      <c r="J34" s="17" t="n">
        <v>44100102936</v>
      </c>
      <c r="K34" s="15" t="s">
        <v>269</v>
      </c>
      <c r="L34" s="15" t="s">
        <v>270</v>
      </c>
      <c r="M34" s="16"/>
      <c r="N34" s="15" t="s">
        <v>174</v>
      </c>
      <c r="O34" s="16" t="s">
        <v>69</v>
      </c>
      <c r="P34" s="16" t="s">
        <v>330</v>
      </c>
      <c r="Q34" s="15" t="s">
        <v>69</v>
      </c>
      <c r="R34" s="16" t="s">
        <v>331</v>
      </c>
      <c r="S34" s="18" t="n">
        <v>43219</v>
      </c>
      <c r="T34" s="16" t="n">
        <v>2018</v>
      </c>
      <c r="U34" s="15" t="s">
        <v>72</v>
      </c>
      <c r="V34" s="16" t="s">
        <v>280</v>
      </c>
      <c r="W34" s="16" t="n">
        <v>38.351189</v>
      </c>
      <c r="X34" s="16" t="n">
        <v>-81.638329</v>
      </c>
      <c r="Y34" s="16" t="s">
        <v>238</v>
      </c>
      <c r="Z34" s="16" t="s">
        <v>101</v>
      </c>
      <c r="AA34" s="16" t="s">
        <v>127</v>
      </c>
      <c r="AB34" s="20" t="s">
        <v>69</v>
      </c>
      <c r="AC34" s="16" t="s">
        <v>128</v>
      </c>
      <c r="AD34" s="20" t="n">
        <v>43231</v>
      </c>
      <c r="AE34" s="20" t="n">
        <v>43303</v>
      </c>
      <c r="AF34" s="20" t="n">
        <v>43213</v>
      </c>
      <c r="AG34" s="16" t="s">
        <v>272</v>
      </c>
      <c r="AH34" s="16" t="s">
        <v>273</v>
      </c>
      <c r="AI34" s="16" t="s">
        <v>274</v>
      </c>
      <c r="AJ34" s="16" t="s">
        <v>332</v>
      </c>
      <c r="AK34" s="16" t="s">
        <v>333</v>
      </c>
      <c r="AL34" s="16" t="s">
        <v>193</v>
      </c>
      <c r="AM34" s="16" t="s">
        <v>334</v>
      </c>
      <c r="AN34" s="16" t="n">
        <v>9383303</v>
      </c>
      <c r="AO34" s="16" t="n">
        <v>34</v>
      </c>
      <c r="AP34" s="16" t="s">
        <v>85</v>
      </c>
      <c r="AQ34" s="20" t="n">
        <v>43556</v>
      </c>
      <c r="AR34" s="16"/>
      <c r="AS34" s="16" t="n">
        <v>31</v>
      </c>
      <c r="AT34" s="16" t="s">
        <v>87</v>
      </c>
      <c r="AU34" s="16" t="n">
        <v>32.22</v>
      </c>
      <c r="AV34" s="16" t="s">
        <v>87</v>
      </c>
    </row>
    <row r="35" customFormat="false" ht="15.75" hidden="false" customHeight="false" outlineLevel="0" collapsed="false">
      <c r="A35" s="14" t="s">
        <v>335</v>
      </c>
      <c r="B35" s="14" t="s">
        <v>264</v>
      </c>
      <c r="C35" s="15" t="s">
        <v>252</v>
      </c>
      <c r="D35" s="15" t="s">
        <v>62</v>
      </c>
      <c r="E35" s="15" t="s">
        <v>265</v>
      </c>
      <c r="F35" s="16" t="s">
        <v>266</v>
      </c>
      <c r="G35" s="16"/>
      <c r="H35" s="16"/>
      <c r="I35" s="16" t="s">
        <v>268</v>
      </c>
      <c r="J35" s="17" t="n">
        <v>41483021779</v>
      </c>
      <c r="K35" s="15" t="s">
        <v>269</v>
      </c>
      <c r="L35" s="15" t="s">
        <v>270</v>
      </c>
      <c r="M35" s="16"/>
      <c r="N35" s="15" t="s">
        <v>174</v>
      </c>
      <c r="O35" s="16" t="s">
        <v>69</v>
      </c>
      <c r="P35" s="16" t="s">
        <v>336</v>
      </c>
      <c r="Q35" s="15" t="s">
        <v>69</v>
      </c>
      <c r="R35" s="16" t="s">
        <v>337</v>
      </c>
      <c r="S35" s="18" t="n">
        <v>43219</v>
      </c>
      <c r="T35" s="16" t="n">
        <v>2018</v>
      </c>
      <c r="U35" s="15" t="s">
        <v>72</v>
      </c>
      <c r="V35" s="16" t="s">
        <v>338</v>
      </c>
      <c r="W35" s="16" t="n">
        <v>38.351189</v>
      </c>
      <c r="X35" s="16" t="n">
        <v>-81.638359</v>
      </c>
      <c r="Y35" s="16" t="s">
        <v>238</v>
      </c>
      <c r="Z35" s="16" t="s">
        <v>101</v>
      </c>
      <c r="AA35" s="16" t="s">
        <v>127</v>
      </c>
      <c r="AB35" s="20" t="s">
        <v>69</v>
      </c>
      <c r="AC35" s="16" t="s">
        <v>128</v>
      </c>
      <c r="AD35" s="20" t="n">
        <v>43235</v>
      </c>
      <c r="AE35" s="20" t="n">
        <v>43303</v>
      </c>
      <c r="AF35" s="20" t="n">
        <v>43213</v>
      </c>
      <c r="AG35" s="16" t="s">
        <v>272</v>
      </c>
      <c r="AH35" s="16" t="s">
        <v>273</v>
      </c>
      <c r="AI35" s="16" t="s">
        <v>274</v>
      </c>
      <c r="AJ35" s="16" t="s">
        <v>339</v>
      </c>
      <c r="AK35" s="16" t="s">
        <v>340</v>
      </c>
      <c r="AL35" s="16" t="s">
        <v>193</v>
      </c>
      <c r="AM35" s="16" t="s">
        <v>341</v>
      </c>
      <c r="AN35" s="16" t="n">
        <v>271681750</v>
      </c>
      <c r="AO35" s="16" t="n">
        <v>76</v>
      </c>
      <c r="AP35" s="16" t="s">
        <v>85</v>
      </c>
      <c r="AQ35" s="20" t="n">
        <v>43556</v>
      </c>
      <c r="AR35" s="16"/>
      <c r="AS35" s="16" t="n">
        <v>12</v>
      </c>
      <c r="AT35" s="16" t="s">
        <v>87</v>
      </c>
      <c r="AU35" s="16" t="n">
        <v>33.22</v>
      </c>
      <c r="AV35" s="16" t="s">
        <v>87</v>
      </c>
    </row>
    <row r="36" customFormat="false" ht="15.75" hidden="false" customHeight="false" outlineLevel="0" collapsed="false">
      <c r="A36" s="14" t="s">
        <v>342</v>
      </c>
      <c r="B36" s="14" t="s">
        <v>343</v>
      </c>
      <c r="C36" s="15" t="s">
        <v>344</v>
      </c>
      <c r="D36" s="15" t="s">
        <v>62</v>
      </c>
      <c r="E36" s="15" t="s">
        <v>345</v>
      </c>
      <c r="F36" s="16" t="s">
        <v>266</v>
      </c>
      <c r="G36" s="16"/>
      <c r="H36" s="16" t="s">
        <v>346</v>
      </c>
      <c r="I36" s="16" t="s">
        <v>268</v>
      </c>
      <c r="J36" s="17" t="n">
        <v>41250102113</v>
      </c>
      <c r="K36" s="15" t="s">
        <v>172</v>
      </c>
      <c r="L36" s="15" t="s">
        <v>347</v>
      </c>
      <c r="M36" s="16"/>
      <c r="N36" s="15" t="s">
        <v>174</v>
      </c>
      <c r="O36" s="16" t="s">
        <v>348</v>
      </c>
      <c r="P36" s="16" t="s">
        <v>349</v>
      </c>
      <c r="Q36" s="15" t="s">
        <v>69</v>
      </c>
      <c r="R36" s="16" t="s">
        <v>350</v>
      </c>
      <c r="S36" s="18" t="n">
        <v>43227</v>
      </c>
      <c r="T36" s="16" t="n">
        <v>2018</v>
      </c>
      <c r="U36" s="15" t="s">
        <v>351</v>
      </c>
      <c r="V36" s="16"/>
      <c r="W36" s="16" t="n">
        <v>39.05098</v>
      </c>
      <c r="X36" s="16" t="n">
        <v>-81.638359</v>
      </c>
      <c r="Y36" s="20" t="s">
        <v>352</v>
      </c>
      <c r="Z36" s="20" t="s">
        <v>75</v>
      </c>
      <c r="AA36" s="20" t="s">
        <v>353</v>
      </c>
      <c r="AB36" s="20" t="s">
        <v>69</v>
      </c>
      <c r="AC36" s="20" t="s">
        <v>354</v>
      </c>
      <c r="AD36" s="20" t="n">
        <v>43229</v>
      </c>
      <c r="AE36" s="20" t="n">
        <v>43303</v>
      </c>
      <c r="AF36" s="20" t="n">
        <v>43213</v>
      </c>
      <c r="AG36" s="16" t="s">
        <v>355</v>
      </c>
      <c r="AH36" s="16" t="s">
        <v>273</v>
      </c>
      <c r="AI36" s="16" t="s">
        <v>356</v>
      </c>
      <c r="AJ36" s="16" t="s">
        <v>357</v>
      </c>
      <c r="AK36" s="16" t="s">
        <v>358</v>
      </c>
      <c r="AL36" s="16" t="s">
        <v>193</v>
      </c>
      <c r="AM36" s="16" t="s">
        <v>359</v>
      </c>
      <c r="AN36" s="16" t="s">
        <v>360</v>
      </c>
      <c r="AO36" s="16" t="n">
        <v>83</v>
      </c>
      <c r="AP36" s="16" t="s">
        <v>87</v>
      </c>
      <c r="AQ36" s="20" t="n">
        <v>43556</v>
      </c>
      <c r="AR36" s="16"/>
      <c r="AS36" s="16" t="n">
        <v>16</v>
      </c>
      <c r="AT36" s="16" t="s">
        <v>87</v>
      </c>
      <c r="AU36" s="16" t="n">
        <v>34.22</v>
      </c>
      <c r="AV36" s="16" t="s">
        <v>87</v>
      </c>
    </row>
    <row r="37" customFormat="false" ht="15.75" hidden="false" customHeight="false" outlineLevel="0" collapsed="false">
      <c r="A37" s="14" t="s">
        <v>361</v>
      </c>
      <c r="B37" s="14" t="s">
        <v>362</v>
      </c>
      <c r="C37" s="15" t="s">
        <v>363</v>
      </c>
      <c r="D37" s="15" t="s">
        <v>62</v>
      </c>
      <c r="E37" s="15" t="s">
        <v>364</v>
      </c>
      <c r="F37" s="16" t="s">
        <v>266</v>
      </c>
      <c r="G37" s="16"/>
      <c r="H37" s="16" t="s">
        <v>346</v>
      </c>
      <c r="I37" s="16" t="s">
        <v>268</v>
      </c>
      <c r="J37" s="17" t="n">
        <v>41483987132</v>
      </c>
      <c r="K37" s="15" t="s">
        <v>172</v>
      </c>
      <c r="L37" s="15" t="s">
        <v>347</v>
      </c>
      <c r="M37" s="16"/>
      <c r="N37" s="15" t="s">
        <v>174</v>
      </c>
      <c r="O37" s="16" t="s">
        <v>348</v>
      </c>
      <c r="P37" s="16" t="s">
        <v>365</v>
      </c>
      <c r="Q37" s="15" t="s">
        <v>69</v>
      </c>
      <c r="R37" s="16" t="s">
        <v>366</v>
      </c>
      <c r="S37" s="18" t="n">
        <v>40736</v>
      </c>
      <c r="T37" s="16" t="n">
        <v>2011</v>
      </c>
      <c r="U37" s="15" t="s">
        <v>351</v>
      </c>
      <c r="V37" s="16"/>
      <c r="W37" s="16" t="n">
        <v>39.05098</v>
      </c>
      <c r="X37" s="16" t="n">
        <v>-95.670433</v>
      </c>
      <c r="Y37" s="20" t="s">
        <v>352</v>
      </c>
      <c r="Z37" s="20" t="s">
        <v>75</v>
      </c>
      <c r="AA37" s="20" t="s">
        <v>353</v>
      </c>
      <c r="AB37" s="20" t="s">
        <v>69</v>
      </c>
      <c r="AC37" s="20" t="s">
        <v>354</v>
      </c>
      <c r="AD37" s="20" t="n">
        <v>43229</v>
      </c>
      <c r="AE37" s="20" t="n">
        <v>43303</v>
      </c>
      <c r="AF37" s="20" t="n">
        <v>43213</v>
      </c>
      <c r="AG37" s="16" t="s">
        <v>355</v>
      </c>
      <c r="AH37" s="16" t="s">
        <v>367</v>
      </c>
      <c r="AI37" s="16" t="s">
        <v>368</v>
      </c>
      <c r="AJ37" s="16" t="s">
        <v>369</v>
      </c>
      <c r="AK37" s="16" t="s">
        <v>370</v>
      </c>
      <c r="AL37" s="16" t="s">
        <v>121</v>
      </c>
      <c r="AM37" s="16" t="s">
        <v>359</v>
      </c>
      <c r="AN37" s="16"/>
      <c r="AO37" s="16" t="n">
        <v>83</v>
      </c>
      <c r="AP37" s="16" t="s">
        <v>87</v>
      </c>
      <c r="AQ37" s="20" t="n">
        <v>43556</v>
      </c>
      <c r="AR37" s="16"/>
      <c r="AS37" s="16" t="n">
        <v>60</v>
      </c>
      <c r="AT37" s="16" t="s">
        <v>87</v>
      </c>
      <c r="AU37" s="16" t="n">
        <v>35.22</v>
      </c>
      <c r="AV37" s="16" t="s">
        <v>87</v>
      </c>
    </row>
    <row r="38" customFormat="false" ht="15.75" hidden="false" customHeight="false" outlineLevel="0" collapsed="false">
      <c r="A38" s="14" t="s">
        <v>371</v>
      </c>
      <c r="B38" s="14" t="s">
        <v>372</v>
      </c>
      <c r="C38" s="15" t="s">
        <v>363</v>
      </c>
      <c r="D38" s="15" t="s">
        <v>62</v>
      </c>
      <c r="E38" s="15" t="s">
        <v>364</v>
      </c>
      <c r="F38" s="16" t="s">
        <v>266</v>
      </c>
      <c r="G38" s="16"/>
      <c r="H38" s="16" t="s">
        <v>346</v>
      </c>
      <c r="I38" s="16" t="s">
        <v>268</v>
      </c>
      <c r="J38" s="17" t="n">
        <v>41483987999</v>
      </c>
      <c r="K38" s="15" t="s">
        <v>172</v>
      </c>
      <c r="L38" s="15" t="s">
        <v>347</v>
      </c>
      <c r="M38" s="16"/>
      <c r="N38" s="15" t="s">
        <v>174</v>
      </c>
      <c r="O38" s="16" t="s">
        <v>348</v>
      </c>
      <c r="P38" s="16" t="s">
        <v>373</v>
      </c>
      <c r="Q38" s="15" t="s">
        <v>69</v>
      </c>
      <c r="R38" s="16" t="s">
        <v>279</v>
      </c>
      <c r="S38" s="18" t="n">
        <v>40748</v>
      </c>
      <c r="T38" s="16" t="n">
        <v>2011</v>
      </c>
      <c r="U38" s="15" t="s">
        <v>351</v>
      </c>
      <c r="V38" s="16"/>
      <c r="W38" s="16" t="n">
        <v>39.05098</v>
      </c>
      <c r="X38" s="16" t="n">
        <v>-95.670433</v>
      </c>
      <c r="Y38" s="20" t="s">
        <v>352</v>
      </c>
      <c r="Z38" s="20" t="s">
        <v>75</v>
      </c>
      <c r="AA38" s="16" t="s">
        <v>353</v>
      </c>
      <c r="AB38" s="20" t="s">
        <v>69</v>
      </c>
      <c r="AC38" s="20" t="s">
        <v>354</v>
      </c>
      <c r="AD38" s="20" t="n">
        <v>43232</v>
      </c>
      <c r="AE38" s="20" t="n">
        <v>43303</v>
      </c>
      <c r="AF38" s="20" t="n">
        <v>43213</v>
      </c>
      <c r="AG38" s="16" t="s">
        <v>355</v>
      </c>
      <c r="AH38" s="16" t="s">
        <v>367</v>
      </c>
      <c r="AI38" s="16" t="s">
        <v>368</v>
      </c>
      <c r="AJ38" s="16" t="s">
        <v>374</v>
      </c>
      <c r="AK38" s="16" t="s">
        <v>375</v>
      </c>
      <c r="AL38" s="16" t="s">
        <v>121</v>
      </c>
      <c r="AM38" s="16" t="s">
        <v>359</v>
      </c>
      <c r="AN38" s="16"/>
      <c r="AO38" s="16" t="n">
        <v>34</v>
      </c>
      <c r="AP38" s="16" t="s">
        <v>87</v>
      </c>
      <c r="AQ38" s="20" t="n">
        <v>43556</v>
      </c>
      <c r="AR38" s="16" t="s">
        <v>376</v>
      </c>
      <c r="AS38" s="16" t="n">
        <v>85</v>
      </c>
      <c r="AT38" s="16" t="s">
        <v>87</v>
      </c>
      <c r="AU38" s="16" t="n">
        <v>36.22</v>
      </c>
      <c r="AV38" s="16" t="s">
        <v>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L1" activeCellId="0" sqref="L1"/>
    </sheetView>
  </sheetViews>
  <sheetFormatPr defaultColWidth="10.6640625" defaultRowHeight="15.75" customHeight="true" zeroHeight="false" outlineLevelRow="0" outlineLevelCol="0"/>
  <cols>
    <col collapsed="false" customWidth="true" hidden="false" outlineLevel="0" max="1" min="1" style="1" width="21.42"/>
    <col collapsed="false" customWidth="true" hidden="false" outlineLevel="0" max="2" min="2" style="1" width="16.83"/>
    <col collapsed="false" customWidth="true" hidden="false" outlineLevel="0" max="3" min="3" style="1" width="28.88"/>
    <col collapsed="false" customWidth="true" hidden="false" outlineLevel="0" max="4" min="4" style="1" width="25.92"/>
    <col collapsed="false" customWidth="true" hidden="false" outlineLevel="0" max="5" min="5" style="1" width="28.92"/>
    <col collapsed="false" customWidth="true" hidden="false" outlineLevel="0" max="6" min="6" style="1" width="30.75"/>
    <col collapsed="false" customWidth="true" hidden="false" outlineLevel="0" max="7" min="7" style="1" width="22.92"/>
    <col collapsed="false" customWidth="true" hidden="false" outlineLevel="0" max="8" min="8" style="1" width="24.41"/>
    <col collapsed="false" customWidth="true" hidden="false" outlineLevel="0" max="9" min="9" style="1" width="31.75"/>
    <col collapsed="false" customWidth="true" hidden="false" outlineLevel="0" max="10" min="10" style="1" width="24"/>
    <col collapsed="false" customWidth="true" hidden="false" outlineLevel="0" max="11" min="11" style="1" width="26.08"/>
    <col collapsed="false" customWidth="true" hidden="false" outlineLevel="0" max="20" min="12" style="1" width="38.33"/>
    <col collapsed="false" customWidth="true" hidden="false" outlineLevel="0" max="21" min="21" style="1" width="42.92"/>
    <col collapsed="false" customWidth="true" hidden="false" outlineLevel="0" max="22" min="22" style="1" width="38.33"/>
    <col collapsed="false" customWidth="true" hidden="false" outlineLevel="0" max="23" min="23" style="1" width="53.92"/>
    <col collapsed="false" customWidth="true" hidden="false" outlineLevel="0" max="24" min="24" style="1" width="39.41"/>
    <col collapsed="false" customWidth="true" hidden="false" outlineLevel="0" max="25" min="25" style="1" width="121.58"/>
    <col collapsed="false" customWidth="true" hidden="false" outlineLevel="0" max="26" min="26" style="1" width="41.83"/>
    <col collapsed="false" customWidth="true" hidden="false" outlineLevel="0" max="27" min="27" style="1" width="37.75"/>
    <col collapsed="false" customWidth="true" hidden="false" outlineLevel="0" max="28" min="28" style="1" width="46.92"/>
    <col collapsed="false" customWidth="true" hidden="false" outlineLevel="0" max="29" min="29" style="1" width="47.92"/>
  </cols>
  <sheetData>
    <row r="1" customFormat="false" ht="33" hidden="false" customHeight="true" outlineLevel="0" collapsed="false">
      <c r="A1" s="9" t="s">
        <v>377</v>
      </c>
      <c r="B1" s="10" t="s">
        <v>378</v>
      </c>
      <c r="C1" s="9" t="s">
        <v>379</v>
      </c>
      <c r="D1" s="9" t="s">
        <v>380</v>
      </c>
      <c r="E1" s="9" t="s">
        <v>381</v>
      </c>
      <c r="F1" s="9" t="s">
        <v>382</v>
      </c>
      <c r="G1" s="11" t="s">
        <v>383</v>
      </c>
      <c r="H1" s="10" t="s">
        <v>384</v>
      </c>
      <c r="I1" s="10" t="s">
        <v>385</v>
      </c>
      <c r="J1" s="11" t="s">
        <v>386</v>
      </c>
      <c r="K1" s="10" t="s">
        <v>387</v>
      </c>
      <c r="L1" s="11" t="s">
        <v>388</v>
      </c>
      <c r="M1" s="11" t="s">
        <v>389</v>
      </c>
      <c r="N1" s="11" t="s">
        <v>390</v>
      </c>
      <c r="O1" s="11" t="s">
        <v>391</v>
      </c>
      <c r="P1" s="11" t="s">
        <v>392</v>
      </c>
      <c r="Q1" s="11" t="s">
        <v>393</v>
      </c>
      <c r="R1" s="11" t="s">
        <v>394</v>
      </c>
      <c r="S1" s="11" t="s">
        <v>395</v>
      </c>
      <c r="T1" s="11" t="s">
        <v>396</v>
      </c>
      <c r="U1" s="10" t="s">
        <v>397</v>
      </c>
      <c r="V1" s="10" t="s">
        <v>398</v>
      </c>
      <c r="W1" s="11" t="s">
        <v>399</v>
      </c>
      <c r="X1" s="11" t="s">
        <v>400</v>
      </c>
      <c r="Y1" s="11" t="s">
        <v>401</v>
      </c>
      <c r="Z1" s="11" t="s">
        <v>402</v>
      </c>
      <c r="AA1" s="11" t="s">
        <v>403</v>
      </c>
      <c r="AB1" s="11" t="s">
        <v>404</v>
      </c>
      <c r="AC1" s="11" t="s">
        <v>405</v>
      </c>
    </row>
    <row r="2" customFormat="false" ht="15.75" hidden="false" customHeight="false" outlineLevel="0" collapsed="false">
      <c r="A2" s="14" t="s">
        <v>406</v>
      </c>
      <c r="B2" s="15" t="s">
        <v>407</v>
      </c>
      <c r="C2" s="14" t="s">
        <v>408</v>
      </c>
      <c r="D2" s="14" t="n">
        <v>339</v>
      </c>
      <c r="E2" s="14" t="s">
        <v>409</v>
      </c>
      <c r="F2" s="14" t="n">
        <v>1</v>
      </c>
      <c r="G2" s="20"/>
      <c r="H2" s="18" t="n">
        <v>43248</v>
      </c>
      <c r="I2" s="15" t="s">
        <v>410</v>
      </c>
      <c r="J2" s="16"/>
      <c r="K2" s="15" t="s">
        <v>411</v>
      </c>
      <c r="L2" s="16"/>
      <c r="M2" s="16"/>
      <c r="N2" s="16"/>
      <c r="O2" s="16"/>
      <c r="P2" s="21" t="n">
        <f aca="false">FALSE()</f>
        <v>0</v>
      </c>
      <c r="Q2" s="16"/>
      <c r="R2" s="16"/>
      <c r="S2" s="16"/>
      <c r="T2" s="16"/>
      <c r="U2" s="15" t="s">
        <v>412</v>
      </c>
      <c r="V2" s="15" t="s">
        <v>413</v>
      </c>
      <c r="W2" s="16" t="s">
        <v>101</v>
      </c>
      <c r="X2" s="21" t="n">
        <f aca="false">FALSE()</f>
        <v>0</v>
      </c>
      <c r="Y2" s="16"/>
      <c r="Z2" s="16" t="n">
        <v>2.78</v>
      </c>
      <c r="AA2" s="16" t="n">
        <v>8.37</v>
      </c>
      <c r="AB2" s="16" t="n">
        <v>3.84</v>
      </c>
      <c r="AC2" s="16"/>
    </row>
    <row r="3" customFormat="false" ht="15.75" hidden="false" customHeight="false" outlineLevel="0" collapsed="false">
      <c r="A3" s="14" t="s">
        <v>406</v>
      </c>
      <c r="B3" s="15" t="s">
        <v>407</v>
      </c>
      <c r="C3" s="14" t="s">
        <v>408</v>
      </c>
      <c r="D3" s="14" t="n">
        <v>366</v>
      </c>
      <c r="E3" s="14" t="s">
        <v>409</v>
      </c>
      <c r="F3" s="14" t="n">
        <v>1</v>
      </c>
      <c r="G3" s="20"/>
      <c r="H3" s="18" t="n">
        <v>43248</v>
      </c>
      <c r="I3" s="15" t="s">
        <v>410</v>
      </c>
      <c r="J3" s="16"/>
      <c r="K3" s="15" t="s">
        <v>411</v>
      </c>
      <c r="L3" s="16"/>
      <c r="M3" s="16"/>
      <c r="N3" s="16"/>
      <c r="O3" s="16"/>
      <c r="P3" s="21" t="n">
        <f aca="false">FALSE()</f>
        <v>0</v>
      </c>
      <c r="Q3" s="16"/>
      <c r="R3" s="16"/>
      <c r="S3" s="16"/>
      <c r="T3" s="16"/>
      <c r="U3" s="15" t="s">
        <v>412</v>
      </c>
      <c r="V3" s="15" t="s">
        <v>413</v>
      </c>
      <c r="W3" s="16" t="s">
        <v>101</v>
      </c>
      <c r="X3" s="21" t="n">
        <f aca="false">FALSE()</f>
        <v>0</v>
      </c>
      <c r="Y3" s="16"/>
      <c r="Z3" s="16"/>
      <c r="AA3" s="16"/>
      <c r="AB3" s="16"/>
      <c r="AC3" s="16" t="n">
        <v>6.25</v>
      </c>
    </row>
    <row r="4" customFormat="false" ht="15.75" hidden="false" customHeight="false" outlineLevel="0" collapsed="false">
      <c r="A4" s="14" t="s">
        <v>406</v>
      </c>
      <c r="B4" s="15" t="s">
        <v>414</v>
      </c>
      <c r="C4" s="14" t="s">
        <v>415</v>
      </c>
      <c r="D4" s="14" t="n">
        <v>143</v>
      </c>
      <c r="E4" s="14" t="s">
        <v>409</v>
      </c>
      <c r="F4" s="14" t="n">
        <v>1</v>
      </c>
      <c r="G4" s="20"/>
      <c r="H4" s="18" t="n">
        <v>43248</v>
      </c>
      <c r="I4" s="15" t="s">
        <v>410</v>
      </c>
      <c r="J4" s="16"/>
      <c r="K4" s="15" t="s">
        <v>411</v>
      </c>
      <c r="L4" s="16"/>
      <c r="M4" s="16"/>
      <c r="N4" s="16"/>
      <c r="O4" s="16"/>
      <c r="P4" s="21" t="n">
        <f aca="false">FALSE()</f>
        <v>0</v>
      </c>
      <c r="Q4" s="16"/>
      <c r="R4" s="16"/>
      <c r="S4" s="16"/>
      <c r="T4" s="16"/>
      <c r="U4" s="15" t="s">
        <v>412</v>
      </c>
      <c r="V4" s="15" t="s">
        <v>413</v>
      </c>
      <c r="W4" s="16" t="s">
        <v>101</v>
      </c>
      <c r="X4" s="21" t="n">
        <f aca="false">FALSE()</f>
        <v>0</v>
      </c>
      <c r="Y4" s="16"/>
      <c r="Z4" s="16" t="n">
        <v>3.47</v>
      </c>
      <c r="AA4" s="16" t="n">
        <v>8.37</v>
      </c>
      <c r="AB4" s="16" t="n">
        <v>4.07</v>
      </c>
      <c r="AC4" s="16"/>
    </row>
    <row r="5" customFormat="false" ht="15.75" hidden="false" customHeight="false" outlineLevel="0" collapsed="false">
      <c r="A5" s="14" t="s">
        <v>406</v>
      </c>
      <c r="B5" s="15" t="s">
        <v>414</v>
      </c>
      <c r="C5" s="14" t="s">
        <v>415</v>
      </c>
      <c r="D5" s="14" t="n">
        <v>452</v>
      </c>
      <c r="E5" s="14" t="s">
        <v>409</v>
      </c>
      <c r="F5" s="14" t="n">
        <v>1</v>
      </c>
      <c r="G5" s="20"/>
      <c r="H5" s="18" t="n">
        <v>43248</v>
      </c>
      <c r="I5" s="15" t="s">
        <v>410</v>
      </c>
      <c r="J5" s="16"/>
      <c r="K5" s="15" t="s">
        <v>411</v>
      </c>
      <c r="L5" s="16"/>
      <c r="M5" s="16"/>
      <c r="N5" s="16"/>
      <c r="O5" s="16"/>
      <c r="P5" s="21" t="n">
        <f aca="false">FALSE()</f>
        <v>0</v>
      </c>
      <c r="Q5" s="16"/>
      <c r="R5" s="16"/>
      <c r="S5" s="16"/>
      <c r="T5" s="16"/>
      <c r="U5" s="15" t="s">
        <v>412</v>
      </c>
      <c r="V5" s="15" t="s">
        <v>413</v>
      </c>
      <c r="W5" s="16" t="s">
        <v>101</v>
      </c>
      <c r="X5" s="21" t="n">
        <f aca="false">FALSE()</f>
        <v>0</v>
      </c>
      <c r="Y5" s="16"/>
      <c r="Z5" s="16" t="n">
        <v>4</v>
      </c>
      <c r="AA5" s="16" t="n">
        <v>9</v>
      </c>
      <c r="AB5" s="16" t="n">
        <v>4</v>
      </c>
      <c r="AC5" s="16"/>
    </row>
    <row r="6" customFormat="false" ht="15.75" hidden="false" customHeight="false" outlineLevel="0" collapsed="false">
      <c r="A6" s="14" t="s">
        <v>59</v>
      </c>
      <c r="B6" s="15" t="s">
        <v>416</v>
      </c>
      <c r="C6" s="14" t="s">
        <v>417</v>
      </c>
      <c r="D6" s="14" t="n">
        <v>56.3</v>
      </c>
      <c r="E6" s="14" t="s">
        <v>418</v>
      </c>
      <c r="F6" s="14" t="n">
        <v>1</v>
      </c>
      <c r="G6" s="20" t="n">
        <v>43206</v>
      </c>
      <c r="H6" s="18"/>
      <c r="I6" s="15" t="s">
        <v>419</v>
      </c>
      <c r="J6" s="16" t="s">
        <v>420</v>
      </c>
      <c r="K6" s="15" t="s">
        <v>421</v>
      </c>
      <c r="L6" s="16" t="s">
        <v>422</v>
      </c>
      <c r="M6" s="16" t="n">
        <v>0.0785</v>
      </c>
      <c r="N6" s="16" t="s">
        <v>423</v>
      </c>
      <c r="O6" s="16" t="n">
        <v>0.57</v>
      </c>
      <c r="P6" s="21" t="n">
        <f aca="false">FALSE()</f>
        <v>0</v>
      </c>
      <c r="Q6" s="16"/>
      <c r="R6" s="16"/>
      <c r="S6" s="16"/>
      <c r="T6" s="16"/>
      <c r="U6" s="15" t="s">
        <v>424</v>
      </c>
      <c r="V6" s="15" t="s">
        <v>425</v>
      </c>
      <c r="W6" s="16" t="s">
        <v>426</v>
      </c>
      <c r="X6" s="21" t="n">
        <f aca="false">FALSE()</f>
        <v>0</v>
      </c>
      <c r="Y6" s="16"/>
      <c r="Z6" s="16"/>
      <c r="AA6" s="16"/>
      <c r="AB6" s="16"/>
      <c r="AC6" s="16"/>
    </row>
    <row r="7" customFormat="false" ht="15.75" hidden="false" customHeight="false" outlineLevel="0" collapsed="false">
      <c r="A7" s="14" t="s">
        <v>59</v>
      </c>
      <c r="B7" s="15" t="s">
        <v>427</v>
      </c>
      <c r="C7" s="14" t="s">
        <v>428</v>
      </c>
      <c r="D7" s="14" t="n">
        <v>1.28</v>
      </c>
      <c r="E7" s="14" t="s">
        <v>418</v>
      </c>
      <c r="F7" s="14" t="n">
        <v>1</v>
      </c>
      <c r="G7" s="20" t="n">
        <v>43206</v>
      </c>
      <c r="H7" s="18"/>
      <c r="I7" s="15" t="s">
        <v>419</v>
      </c>
      <c r="J7" s="16" t="s">
        <v>420</v>
      </c>
      <c r="K7" s="15" t="s">
        <v>421</v>
      </c>
      <c r="L7" s="16"/>
      <c r="M7" s="16"/>
      <c r="N7" s="16"/>
      <c r="O7" s="16" t="n">
        <v>0.27</v>
      </c>
      <c r="P7" s="21" t="n">
        <f aca="false">FALSE()</f>
        <v>0</v>
      </c>
      <c r="Q7" s="16"/>
      <c r="R7" s="16"/>
      <c r="S7" s="16"/>
      <c r="T7" s="16"/>
      <c r="U7" s="15" t="s">
        <v>429</v>
      </c>
      <c r="V7" s="15" t="s">
        <v>413</v>
      </c>
      <c r="W7" s="16" t="s">
        <v>426</v>
      </c>
      <c r="X7" s="21" t="n">
        <f aca="false">FALSE()</f>
        <v>0</v>
      </c>
      <c r="Y7" s="16"/>
      <c r="Z7" s="16"/>
      <c r="AA7" s="16"/>
      <c r="AB7" s="16"/>
      <c r="AC7" s="16"/>
    </row>
    <row r="8" customFormat="false" ht="15.75" hidden="false" customHeight="false" outlineLevel="0" collapsed="false">
      <c r="A8" s="14" t="s">
        <v>59</v>
      </c>
      <c r="B8" s="15" t="s">
        <v>430</v>
      </c>
      <c r="C8" s="14" t="s">
        <v>431</v>
      </c>
      <c r="D8" s="14" t="n">
        <v>19</v>
      </c>
      <c r="E8" s="14" t="s">
        <v>418</v>
      </c>
      <c r="F8" s="14" t="n">
        <v>1</v>
      </c>
      <c r="G8" s="20" t="n">
        <v>43206</v>
      </c>
      <c r="H8" s="18"/>
      <c r="I8" s="15" t="s">
        <v>419</v>
      </c>
      <c r="J8" s="16" t="s">
        <v>420</v>
      </c>
      <c r="K8" s="15" t="s">
        <v>421</v>
      </c>
      <c r="L8" s="16" t="s">
        <v>432</v>
      </c>
      <c r="M8" s="16" t="n">
        <v>0.0284</v>
      </c>
      <c r="N8" s="16" t="s">
        <v>433</v>
      </c>
      <c r="O8" s="16" t="n">
        <v>0.24</v>
      </c>
      <c r="P8" s="21" t="n">
        <f aca="false">FALSE()</f>
        <v>0</v>
      </c>
      <c r="Q8" s="16"/>
      <c r="R8" s="16"/>
      <c r="S8" s="16"/>
      <c r="T8" s="16"/>
      <c r="U8" s="15" t="s">
        <v>434</v>
      </c>
      <c r="V8" s="15" t="s">
        <v>435</v>
      </c>
      <c r="W8" s="16" t="s">
        <v>426</v>
      </c>
      <c r="X8" s="21" t="n">
        <f aca="false">TRUE()</f>
        <v>1</v>
      </c>
      <c r="Y8" s="16"/>
      <c r="Z8" s="16"/>
      <c r="AA8" s="16"/>
      <c r="AB8" s="16"/>
      <c r="AC8" s="16"/>
    </row>
    <row r="9" customFormat="false" ht="15.75" hidden="false" customHeight="false" outlineLevel="0" collapsed="false">
      <c r="A9" s="14" t="s">
        <v>59</v>
      </c>
      <c r="B9" s="15" t="s">
        <v>436</v>
      </c>
      <c r="C9" s="14" t="s">
        <v>437</v>
      </c>
      <c r="D9" s="14" t="n">
        <v>1.98</v>
      </c>
      <c r="E9" s="14" t="s">
        <v>418</v>
      </c>
      <c r="F9" s="14" t="n">
        <v>2</v>
      </c>
      <c r="G9" s="20" t="n">
        <v>43206</v>
      </c>
      <c r="H9" s="18"/>
      <c r="I9" s="15" t="s">
        <v>419</v>
      </c>
      <c r="J9" s="16" t="s">
        <v>420</v>
      </c>
      <c r="K9" s="15" t="s">
        <v>421</v>
      </c>
      <c r="L9" s="16" t="s">
        <v>432</v>
      </c>
      <c r="M9" s="16" t="n">
        <v>0.0834</v>
      </c>
      <c r="N9" s="16" t="s">
        <v>423</v>
      </c>
      <c r="O9" s="16" t="n">
        <v>0.54</v>
      </c>
      <c r="P9" s="21" t="n">
        <f aca="false">FALSE()</f>
        <v>0</v>
      </c>
      <c r="Q9" s="16" t="n">
        <v>1.99</v>
      </c>
      <c r="R9" s="16" t="n">
        <v>2.42</v>
      </c>
      <c r="S9" s="16" t="n">
        <v>2.04</v>
      </c>
      <c r="T9" s="16" t="n">
        <v>0.655</v>
      </c>
      <c r="U9" s="15" t="s">
        <v>438</v>
      </c>
      <c r="V9" s="15" t="s">
        <v>439</v>
      </c>
      <c r="W9" s="16" t="s">
        <v>426</v>
      </c>
      <c r="X9" s="21" t="n">
        <f aca="false">FALSE()</f>
        <v>0</v>
      </c>
      <c r="Y9" s="16" t="s">
        <v>440</v>
      </c>
      <c r="Z9" s="16"/>
      <c r="AA9" s="16"/>
      <c r="AB9" s="16"/>
      <c r="AC9" s="16"/>
    </row>
    <row r="10" customFormat="false" ht="15.75" hidden="false" customHeight="false" outlineLevel="0" collapsed="false">
      <c r="A10" s="14" t="s">
        <v>59</v>
      </c>
      <c r="B10" s="15" t="s">
        <v>441</v>
      </c>
      <c r="C10" s="14" t="s">
        <v>442</v>
      </c>
      <c r="D10" s="14" t="n">
        <v>188</v>
      </c>
      <c r="E10" s="14" t="s">
        <v>443</v>
      </c>
      <c r="F10" s="14" t="n">
        <v>1</v>
      </c>
      <c r="G10" s="20" t="n">
        <v>43207</v>
      </c>
      <c r="H10" s="18"/>
      <c r="I10" s="15" t="s">
        <v>419</v>
      </c>
      <c r="J10" s="16" t="s">
        <v>420</v>
      </c>
      <c r="K10" s="15" t="s">
        <v>421</v>
      </c>
      <c r="L10" s="16" t="s">
        <v>432</v>
      </c>
      <c r="M10" s="16" t="n">
        <v>0.0923</v>
      </c>
      <c r="N10" s="16" t="s">
        <v>444</v>
      </c>
      <c r="O10" s="16" t="n">
        <v>0.57</v>
      </c>
      <c r="P10" s="21" t="n">
        <f aca="false">FALSE()</f>
        <v>0</v>
      </c>
      <c r="Q10" s="16"/>
      <c r="R10" s="16"/>
      <c r="S10" s="16"/>
      <c r="T10" s="16"/>
      <c r="U10" s="15" t="s">
        <v>445</v>
      </c>
      <c r="V10" s="15" t="s">
        <v>446</v>
      </c>
      <c r="W10" s="16" t="s">
        <v>426</v>
      </c>
      <c r="X10" s="21" t="n">
        <f aca="false">FALSE()</f>
        <v>0</v>
      </c>
      <c r="Y10" s="16"/>
      <c r="Z10" s="16"/>
      <c r="AA10" s="16"/>
      <c r="AB10" s="16"/>
      <c r="AC10" s="16"/>
    </row>
    <row r="11" customFormat="false" ht="15.75" hidden="false" customHeight="false" outlineLevel="0" collapsed="false">
      <c r="A11" s="14" t="s">
        <v>59</v>
      </c>
      <c r="B11" s="15" t="s">
        <v>447</v>
      </c>
      <c r="C11" s="14" t="s">
        <v>448</v>
      </c>
      <c r="D11" s="14" t="n">
        <v>1.21</v>
      </c>
      <c r="E11" s="14" t="s">
        <v>443</v>
      </c>
      <c r="F11" s="14" t="n">
        <v>1</v>
      </c>
      <c r="G11" s="20"/>
      <c r="H11" s="18" t="n">
        <v>43208</v>
      </c>
      <c r="I11" s="15" t="s">
        <v>419</v>
      </c>
      <c r="J11" s="16" t="s">
        <v>420</v>
      </c>
      <c r="K11" s="15" t="s">
        <v>421</v>
      </c>
      <c r="L11" s="16"/>
      <c r="M11" s="16"/>
      <c r="N11" s="16"/>
      <c r="O11" s="16" t="n">
        <v>0.27</v>
      </c>
      <c r="P11" s="21" t="n">
        <f aca="false">TRUE()</f>
        <v>1</v>
      </c>
      <c r="Q11" s="16"/>
      <c r="R11" s="16"/>
      <c r="S11" s="16"/>
      <c r="T11" s="16"/>
      <c r="U11" s="15" t="s">
        <v>445</v>
      </c>
      <c r="V11" s="15" t="s">
        <v>446</v>
      </c>
      <c r="W11" s="16" t="s">
        <v>426</v>
      </c>
      <c r="X11" s="21" t="n">
        <f aca="false">FALSE()</f>
        <v>0</v>
      </c>
      <c r="Y11" s="16"/>
      <c r="Z11" s="16"/>
      <c r="AA11" s="16"/>
      <c r="AB11" s="16"/>
      <c r="AC11" s="16"/>
    </row>
    <row r="12" customFormat="false" ht="15.75" hidden="false" customHeight="false" outlineLevel="0" collapsed="false">
      <c r="A12" s="14" t="s">
        <v>59</v>
      </c>
      <c r="B12" s="15" t="s">
        <v>449</v>
      </c>
      <c r="C12" s="14" t="s">
        <v>450</v>
      </c>
      <c r="D12" s="14" t="n">
        <v>326</v>
      </c>
      <c r="E12" s="14" t="s">
        <v>443</v>
      </c>
      <c r="F12" s="14" t="n">
        <v>2</v>
      </c>
      <c r="G12" s="20"/>
      <c r="H12" s="18" t="n">
        <v>43209</v>
      </c>
      <c r="I12" s="15" t="s">
        <v>419</v>
      </c>
      <c r="J12" s="16" t="s">
        <v>420</v>
      </c>
      <c r="K12" s="15" t="s">
        <v>421</v>
      </c>
      <c r="L12" s="16" t="s">
        <v>422</v>
      </c>
      <c r="M12" s="16" t="n">
        <v>0.0284</v>
      </c>
      <c r="N12" s="16" t="s">
        <v>423</v>
      </c>
      <c r="O12" s="16" t="n">
        <v>0.24</v>
      </c>
      <c r="P12" s="21" t="n">
        <f aca="false">TRUE()</f>
        <v>1</v>
      </c>
      <c r="Q12" s="16" t="n">
        <v>1.05</v>
      </c>
      <c r="R12" s="16" t="n">
        <v>1.35</v>
      </c>
      <c r="S12" s="16" t="n">
        <v>1.32</v>
      </c>
      <c r="T12" s="16" t="n">
        <v>0.3125</v>
      </c>
      <c r="U12" s="15" t="s">
        <v>445</v>
      </c>
      <c r="V12" s="15" t="s">
        <v>446</v>
      </c>
      <c r="W12" s="16" t="s">
        <v>426</v>
      </c>
      <c r="X12" s="21" t="n">
        <f aca="false">FALSE()</f>
        <v>0</v>
      </c>
      <c r="Y12" s="16" t="s">
        <v>451</v>
      </c>
      <c r="Z12" s="16"/>
      <c r="AA12" s="16"/>
      <c r="AB12" s="16"/>
      <c r="AC12" s="16"/>
    </row>
    <row r="13" customFormat="false" ht="15.75" hidden="false" customHeight="false" outlineLevel="0" collapsed="false">
      <c r="A13" s="14" t="s">
        <v>59</v>
      </c>
      <c r="B13" s="15" t="s">
        <v>452</v>
      </c>
      <c r="C13" s="14" t="s">
        <v>453</v>
      </c>
      <c r="D13" s="14" t="n">
        <v>46</v>
      </c>
      <c r="E13" s="14" t="s">
        <v>443</v>
      </c>
      <c r="F13" s="14" t="n">
        <v>1</v>
      </c>
      <c r="G13" s="20"/>
      <c r="H13" s="18" t="n">
        <v>43210</v>
      </c>
      <c r="I13" s="15" t="s">
        <v>419</v>
      </c>
      <c r="J13" s="16" t="s">
        <v>420</v>
      </c>
      <c r="K13" s="15" t="s">
        <v>421</v>
      </c>
      <c r="L13" s="16" t="s">
        <v>454</v>
      </c>
      <c r="M13" s="16" t="n">
        <v>0.0834</v>
      </c>
      <c r="N13" s="16" t="s">
        <v>423</v>
      </c>
      <c r="O13" s="16" t="n">
        <v>0.54</v>
      </c>
      <c r="P13" s="21" t="n">
        <f aca="false">TRUE()</f>
        <v>1</v>
      </c>
      <c r="Q13" s="16"/>
      <c r="R13" s="16"/>
      <c r="S13" s="16"/>
      <c r="T13" s="16"/>
      <c r="U13" s="15" t="s">
        <v>445</v>
      </c>
      <c r="V13" s="15" t="s">
        <v>446</v>
      </c>
      <c r="W13" s="16" t="s">
        <v>426</v>
      </c>
      <c r="X13" s="21" t="n">
        <f aca="false">FALSE()</f>
        <v>0</v>
      </c>
      <c r="Y13" s="16"/>
      <c r="Z13" s="16"/>
      <c r="AA13" s="16"/>
      <c r="AB13" s="16"/>
      <c r="AC13" s="16"/>
    </row>
    <row r="14" customFormat="false" ht="15.75" hidden="false" customHeight="false" outlineLevel="0" collapsed="false">
      <c r="A14" s="14" t="s">
        <v>59</v>
      </c>
      <c r="B14" s="15" t="s">
        <v>455</v>
      </c>
      <c r="C14" s="14" t="s">
        <v>456</v>
      </c>
      <c r="D14" s="14" t="n">
        <v>446</v>
      </c>
      <c r="E14" s="14" t="s">
        <v>443</v>
      </c>
      <c r="F14" s="14" t="n">
        <v>1</v>
      </c>
      <c r="G14" s="20"/>
      <c r="H14" s="18" t="n">
        <v>43211</v>
      </c>
      <c r="I14" s="15" t="s">
        <v>419</v>
      </c>
      <c r="J14" s="16" t="s">
        <v>420</v>
      </c>
      <c r="K14" s="15" t="s">
        <v>421</v>
      </c>
      <c r="L14" s="16" t="s">
        <v>422</v>
      </c>
      <c r="M14" s="16" t="n">
        <v>0.0923</v>
      </c>
      <c r="N14" s="16" t="s">
        <v>433</v>
      </c>
      <c r="O14" s="16" t="n">
        <v>0.57</v>
      </c>
      <c r="P14" s="21" t="n">
        <f aca="false">FALSE()</f>
        <v>0</v>
      </c>
      <c r="Q14" s="16"/>
      <c r="R14" s="16"/>
      <c r="S14" s="16"/>
      <c r="T14" s="16"/>
      <c r="U14" s="15" t="s">
        <v>445</v>
      </c>
      <c r="V14" s="15" t="s">
        <v>446</v>
      </c>
      <c r="W14" s="16" t="s">
        <v>426</v>
      </c>
      <c r="X14" s="21" t="n">
        <f aca="false">FALSE()</f>
        <v>0</v>
      </c>
      <c r="Y14" s="16"/>
      <c r="Z14" s="16"/>
      <c r="AA14" s="16"/>
      <c r="AB14" s="16"/>
      <c r="AC14" s="16"/>
    </row>
    <row r="15" customFormat="false" ht="15.75" hidden="false" customHeight="false" outlineLevel="0" collapsed="false">
      <c r="A15" s="14" t="s">
        <v>59</v>
      </c>
      <c r="B15" s="15" t="s">
        <v>457</v>
      </c>
      <c r="C15" s="14" t="s">
        <v>458</v>
      </c>
      <c r="D15" s="14" t="n">
        <v>75.9</v>
      </c>
      <c r="E15" s="14" t="s">
        <v>443</v>
      </c>
      <c r="F15" s="14" t="n">
        <v>1</v>
      </c>
      <c r="G15" s="20"/>
      <c r="H15" s="18" t="n">
        <v>43212</v>
      </c>
      <c r="I15" s="15" t="s">
        <v>419</v>
      </c>
      <c r="J15" s="16" t="s">
        <v>420</v>
      </c>
      <c r="K15" s="15" t="s">
        <v>421</v>
      </c>
      <c r="L15" s="16"/>
      <c r="M15" s="16" t="n">
        <v>0.0834</v>
      </c>
      <c r="N15" s="16" t="s">
        <v>444</v>
      </c>
      <c r="O15" s="16" t="n">
        <v>0.27</v>
      </c>
      <c r="P15" s="21" t="n">
        <f aca="false">FALSE()</f>
        <v>0</v>
      </c>
      <c r="Q15" s="16"/>
      <c r="R15" s="16"/>
      <c r="S15" s="16"/>
      <c r="T15" s="16"/>
      <c r="U15" s="15" t="s">
        <v>445</v>
      </c>
      <c r="V15" s="15" t="s">
        <v>446</v>
      </c>
      <c r="W15" s="16" t="s">
        <v>426</v>
      </c>
      <c r="X15" s="21" t="n">
        <f aca="false">FALSE()</f>
        <v>0</v>
      </c>
      <c r="Y15" s="16"/>
      <c r="Z15" s="16"/>
      <c r="AA15" s="16"/>
      <c r="AB15" s="16"/>
      <c r="AC15" s="16"/>
    </row>
    <row r="16" customFormat="false" ht="15.75" hidden="false" customHeight="false" outlineLevel="0" collapsed="false">
      <c r="A16" s="14" t="s">
        <v>59</v>
      </c>
      <c r="B16" s="15" t="s">
        <v>459</v>
      </c>
      <c r="C16" s="14" t="s">
        <v>460</v>
      </c>
      <c r="D16" s="14" t="n">
        <v>2.33</v>
      </c>
      <c r="E16" s="14" t="s">
        <v>443</v>
      </c>
      <c r="F16" s="14" t="n">
        <v>2</v>
      </c>
      <c r="G16" s="20"/>
      <c r="H16" s="18" t="n">
        <v>43244</v>
      </c>
      <c r="I16" s="15" t="s">
        <v>419</v>
      </c>
      <c r="J16" s="16" t="s">
        <v>420</v>
      </c>
      <c r="K16" s="15" t="s">
        <v>421</v>
      </c>
      <c r="L16" s="16"/>
      <c r="M16" s="16" t="n">
        <v>0.0923</v>
      </c>
      <c r="N16" s="16" t="s">
        <v>423</v>
      </c>
      <c r="O16" s="16" t="n">
        <v>0.24</v>
      </c>
      <c r="P16" s="21" t="n">
        <f aca="false">FALSE()</f>
        <v>0</v>
      </c>
      <c r="Q16" s="16"/>
      <c r="R16" s="16"/>
      <c r="S16" s="16"/>
      <c r="T16" s="16"/>
      <c r="U16" s="15" t="s">
        <v>445</v>
      </c>
      <c r="V16" s="15" t="s">
        <v>446</v>
      </c>
      <c r="W16" s="16" t="s">
        <v>426</v>
      </c>
      <c r="X16" s="21" t="n">
        <f aca="false">FALSE()</f>
        <v>0</v>
      </c>
      <c r="Y16" s="16"/>
      <c r="Z16" s="16"/>
      <c r="AA16" s="16"/>
      <c r="AB16" s="16"/>
      <c r="AC16" s="16"/>
    </row>
    <row r="17" customFormat="false" ht="15.75" hidden="false" customHeight="false" outlineLevel="0" collapsed="false">
      <c r="A17" s="14" t="s">
        <v>59</v>
      </c>
      <c r="B17" s="15" t="s">
        <v>461</v>
      </c>
      <c r="C17" s="14" t="s">
        <v>462</v>
      </c>
      <c r="D17" s="14" t="n">
        <v>0.38</v>
      </c>
      <c r="E17" s="14" t="s">
        <v>443</v>
      </c>
      <c r="F17" s="14" t="n">
        <v>2</v>
      </c>
      <c r="G17" s="20"/>
      <c r="H17" s="18" t="n">
        <v>43244</v>
      </c>
      <c r="I17" s="15" t="s">
        <v>419</v>
      </c>
      <c r="J17" s="16" t="s">
        <v>420</v>
      </c>
      <c r="K17" s="15" t="s">
        <v>421</v>
      </c>
      <c r="L17" s="16"/>
      <c r="M17" s="16"/>
      <c r="N17" s="16"/>
      <c r="O17" s="16" t="n">
        <v>0.57</v>
      </c>
      <c r="P17" s="21" t="n">
        <f aca="false">FALSE()</f>
        <v>0</v>
      </c>
      <c r="Q17" s="16"/>
      <c r="R17" s="16"/>
      <c r="S17" s="16"/>
      <c r="T17" s="16"/>
      <c r="U17" s="15" t="s">
        <v>445</v>
      </c>
      <c r="V17" s="15" t="s">
        <v>446</v>
      </c>
      <c r="W17" s="16" t="s">
        <v>426</v>
      </c>
      <c r="X17" s="21" t="n">
        <f aca="false">FALSE()</f>
        <v>0</v>
      </c>
      <c r="Y17" s="16"/>
      <c r="Z17" s="16"/>
      <c r="AA17" s="16"/>
      <c r="AB17" s="16"/>
      <c r="AC17" s="16"/>
    </row>
    <row r="18" customFormat="false" ht="15.75" hidden="false" customHeight="false" outlineLevel="0" collapsed="false">
      <c r="A18" s="14" t="s">
        <v>59</v>
      </c>
      <c r="B18" s="15" t="s">
        <v>463</v>
      </c>
      <c r="C18" s="14" t="s">
        <v>464</v>
      </c>
      <c r="D18" s="14" t="n">
        <v>1.5</v>
      </c>
      <c r="E18" s="14" t="s">
        <v>443</v>
      </c>
      <c r="F18" s="14" t="n">
        <v>2</v>
      </c>
      <c r="G18" s="20"/>
      <c r="H18" s="18" t="n">
        <v>43244</v>
      </c>
      <c r="I18" s="15" t="s">
        <v>419</v>
      </c>
      <c r="J18" s="16" t="s">
        <v>420</v>
      </c>
      <c r="K18" s="15" t="s">
        <v>421</v>
      </c>
      <c r="L18" s="16"/>
      <c r="M18" s="16"/>
      <c r="N18" s="16"/>
      <c r="O18" s="16" t="n">
        <v>0.27</v>
      </c>
      <c r="P18" s="21" t="n">
        <f aca="false">FALSE()</f>
        <v>0</v>
      </c>
      <c r="Q18" s="16"/>
      <c r="R18" s="16"/>
      <c r="S18" s="16"/>
      <c r="T18" s="16"/>
      <c r="U18" s="15" t="s">
        <v>445</v>
      </c>
      <c r="V18" s="15" t="s">
        <v>446</v>
      </c>
      <c r="W18" s="16" t="s">
        <v>426</v>
      </c>
      <c r="X18" s="21" t="n">
        <f aca="false">FALSE()</f>
        <v>0</v>
      </c>
      <c r="Y18" s="16"/>
      <c r="Z18" s="16"/>
      <c r="AA18" s="16"/>
      <c r="AB18" s="16"/>
      <c r="AC18" s="16"/>
    </row>
    <row r="19" customFormat="false" ht="15.75" hidden="false" customHeight="false" outlineLevel="0" collapsed="false">
      <c r="A19" s="14" t="s">
        <v>88</v>
      </c>
      <c r="B19" s="15" t="s">
        <v>416</v>
      </c>
      <c r="C19" s="14" t="s">
        <v>417</v>
      </c>
      <c r="D19" s="14" t="n">
        <v>56.1</v>
      </c>
      <c r="E19" s="14" t="s">
        <v>418</v>
      </c>
      <c r="F19" s="14" t="n">
        <v>1</v>
      </c>
      <c r="G19" s="20"/>
      <c r="H19" s="18" t="n">
        <v>43244</v>
      </c>
      <c r="I19" s="15" t="s">
        <v>419</v>
      </c>
      <c r="J19" s="16" t="s">
        <v>420</v>
      </c>
      <c r="K19" s="15" t="s">
        <v>421</v>
      </c>
      <c r="L19" s="16"/>
      <c r="M19" s="16"/>
      <c r="N19" s="16"/>
      <c r="O19" s="16" t="n">
        <v>0.57</v>
      </c>
      <c r="P19" s="21" t="n">
        <f aca="false">FALSE()</f>
        <v>0</v>
      </c>
      <c r="Q19" s="16"/>
      <c r="R19" s="16"/>
      <c r="S19" s="16"/>
      <c r="T19" s="16"/>
      <c r="U19" s="15" t="s">
        <v>424</v>
      </c>
      <c r="V19" s="15" t="s">
        <v>425</v>
      </c>
      <c r="W19" s="16" t="s">
        <v>426</v>
      </c>
      <c r="X19" s="21" t="n">
        <f aca="false">FALSE()</f>
        <v>0</v>
      </c>
      <c r="Y19" s="16"/>
      <c r="Z19" s="16"/>
      <c r="AA19" s="16"/>
      <c r="AB19" s="16"/>
      <c r="AC19" s="16"/>
    </row>
    <row r="20" customFormat="false" ht="15.75" hidden="false" customHeight="false" outlineLevel="0" collapsed="false">
      <c r="A20" s="14" t="s">
        <v>88</v>
      </c>
      <c r="B20" s="15" t="s">
        <v>436</v>
      </c>
      <c r="C20" s="14" t="s">
        <v>437</v>
      </c>
      <c r="D20" s="14" t="n">
        <v>1.99</v>
      </c>
      <c r="E20" s="14" t="s">
        <v>418</v>
      </c>
      <c r="F20" s="14" t="n">
        <v>1</v>
      </c>
      <c r="G20" s="20"/>
      <c r="H20" s="18" t="n">
        <v>43244</v>
      </c>
      <c r="I20" s="15" t="s">
        <v>419</v>
      </c>
      <c r="J20" s="16" t="s">
        <v>420</v>
      </c>
      <c r="K20" s="15" t="s">
        <v>421</v>
      </c>
      <c r="L20" s="16"/>
      <c r="M20" s="16"/>
      <c r="N20" s="16"/>
      <c r="O20" s="16" t="n">
        <v>0.27</v>
      </c>
      <c r="P20" s="21" t="n">
        <f aca="false">FALSE()</f>
        <v>0</v>
      </c>
      <c r="Q20" s="16"/>
      <c r="R20" s="16"/>
      <c r="S20" s="16"/>
      <c r="T20" s="16"/>
      <c r="U20" s="15" t="s">
        <v>438</v>
      </c>
      <c r="V20" s="15" t="s">
        <v>439</v>
      </c>
      <c r="W20" s="16" t="s">
        <v>426</v>
      </c>
      <c r="X20" s="21" t="n">
        <f aca="false">FALSE()</f>
        <v>0</v>
      </c>
      <c r="Y20" s="16"/>
      <c r="Z20" s="16"/>
      <c r="AA20" s="16"/>
      <c r="AB20" s="16"/>
      <c r="AC20" s="16"/>
    </row>
    <row r="21" customFormat="false" ht="15.75" hidden="false" customHeight="false" outlineLevel="0" collapsed="false">
      <c r="A21" s="14" t="s">
        <v>88</v>
      </c>
      <c r="B21" s="15" t="s">
        <v>427</v>
      </c>
      <c r="C21" s="14" t="s">
        <v>428</v>
      </c>
      <c r="D21" s="14" t="n">
        <v>1.29</v>
      </c>
      <c r="E21" s="14" t="s">
        <v>418</v>
      </c>
      <c r="F21" s="14" t="n">
        <v>1</v>
      </c>
      <c r="G21" s="20"/>
      <c r="H21" s="18" t="n">
        <v>43244</v>
      </c>
      <c r="I21" s="15" t="s">
        <v>419</v>
      </c>
      <c r="J21" s="16" t="s">
        <v>420</v>
      </c>
      <c r="K21" s="15" t="s">
        <v>421</v>
      </c>
      <c r="L21" s="16"/>
      <c r="M21" s="16"/>
      <c r="N21" s="16"/>
      <c r="O21" s="16" t="n">
        <v>0.24</v>
      </c>
      <c r="P21" s="21" t="n">
        <f aca="false">FALSE()</f>
        <v>0</v>
      </c>
      <c r="Q21" s="16"/>
      <c r="R21" s="16"/>
      <c r="S21" s="16"/>
      <c r="T21" s="16"/>
      <c r="U21" s="15" t="s">
        <v>429</v>
      </c>
      <c r="V21" s="15" t="s">
        <v>413</v>
      </c>
      <c r="W21" s="16" t="s">
        <v>426</v>
      </c>
      <c r="X21" s="21" t="n">
        <f aca="false">TRUE()</f>
        <v>1</v>
      </c>
      <c r="Y21" s="16"/>
      <c r="Z21" s="16"/>
      <c r="AA21" s="16"/>
      <c r="AB21" s="16"/>
      <c r="AC21" s="16"/>
    </row>
    <row r="22" customFormat="false" ht="15.75" hidden="false" customHeight="false" outlineLevel="0" collapsed="false">
      <c r="A22" s="14" t="s">
        <v>88</v>
      </c>
      <c r="B22" s="15" t="s">
        <v>430</v>
      </c>
      <c r="C22" s="14" t="s">
        <v>431</v>
      </c>
      <c r="D22" s="14" t="n">
        <v>18.7</v>
      </c>
      <c r="E22" s="14" t="s">
        <v>418</v>
      </c>
      <c r="F22" s="14" t="n">
        <v>1</v>
      </c>
      <c r="G22" s="20"/>
      <c r="H22" s="18" t="n">
        <v>43244</v>
      </c>
      <c r="I22" s="15" t="s">
        <v>419</v>
      </c>
      <c r="J22" s="16" t="s">
        <v>420</v>
      </c>
      <c r="K22" s="15" t="s">
        <v>421</v>
      </c>
      <c r="L22" s="16"/>
      <c r="M22" s="16"/>
      <c r="N22" s="16"/>
      <c r="O22" s="16" t="n">
        <v>0.54</v>
      </c>
      <c r="P22" s="21" t="n">
        <f aca="false">FALSE()</f>
        <v>0</v>
      </c>
      <c r="Q22" s="16"/>
      <c r="R22" s="16"/>
      <c r="S22" s="16"/>
      <c r="T22" s="16"/>
      <c r="U22" s="15" t="s">
        <v>434</v>
      </c>
      <c r="V22" s="15" t="s">
        <v>435</v>
      </c>
      <c r="W22" s="16" t="s">
        <v>426</v>
      </c>
      <c r="X22" s="21" t="n">
        <f aca="false">TRUE()</f>
        <v>1</v>
      </c>
      <c r="Y22" s="16"/>
      <c r="Z22" s="16"/>
      <c r="AA22" s="16"/>
      <c r="AB22" s="16"/>
      <c r="AC22" s="16"/>
    </row>
    <row r="23" customFormat="false" ht="15.75" hidden="false" customHeight="false" outlineLevel="0" collapsed="false">
      <c r="A23" s="14" t="s">
        <v>88</v>
      </c>
      <c r="B23" s="15" t="s">
        <v>465</v>
      </c>
      <c r="C23" s="14" t="s">
        <v>466</v>
      </c>
      <c r="D23" s="14" t="n">
        <v>0.37</v>
      </c>
      <c r="E23" s="14" t="s">
        <v>443</v>
      </c>
      <c r="F23" s="14" t="n">
        <v>1</v>
      </c>
      <c r="G23" s="20"/>
      <c r="H23" s="18" t="n">
        <v>43206</v>
      </c>
      <c r="I23" s="15" t="s">
        <v>419</v>
      </c>
      <c r="J23" s="16" t="s">
        <v>420</v>
      </c>
      <c r="K23" s="15" t="s">
        <v>421</v>
      </c>
      <c r="L23" s="16" t="s">
        <v>423</v>
      </c>
      <c r="M23" s="16" t="n">
        <v>0.0284</v>
      </c>
      <c r="N23" s="16" t="s">
        <v>432</v>
      </c>
      <c r="O23" s="16" t="n">
        <v>0.57</v>
      </c>
      <c r="P23" s="21" t="n">
        <f aca="false">FALSE()</f>
        <v>0</v>
      </c>
      <c r="Q23" s="16"/>
      <c r="R23" s="16"/>
      <c r="S23" s="16"/>
      <c r="T23" s="16"/>
      <c r="U23" s="15" t="s">
        <v>467</v>
      </c>
      <c r="V23" s="15" t="s">
        <v>468</v>
      </c>
      <c r="W23" s="16" t="s">
        <v>426</v>
      </c>
      <c r="X23" s="21" t="n">
        <f aca="false">TRUE()</f>
        <v>1</v>
      </c>
      <c r="Y23" s="16"/>
      <c r="Z23" s="16"/>
      <c r="AA23" s="16"/>
      <c r="AB23" s="16"/>
      <c r="AC23" s="16"/>
    </row>
    <row r="24" customFormat="false" ht="15.75" hidden="false" customHeight="false" outlineLevel="0" collapsed="false">
      <c r="A24" s="14" t="s">
        <v>88</v>
      </c>
      <c r="B24" s="15" t="s">
        <v>447</v>
      </c>
      <c r="C24" s="14" t="s">
        <v>448</v>
      </c>
      <c r="D24" s="14" t="n">
        <v>1.2</v>
      </c>
      <c r="E24" s="14" t="s">
        <v>443</v>
      </c>
      <c r="F24" s="14" t="n">
        <v>1</v>
      </c>
      <c r="G24" s="20"/>
      <c r="H24" s="18" t="n">
        <v>43206</v>
      </c>
      <c r="I24" s="15" t="s">
        <v>419</v>
      </c>
      <c r="J24" s="16" t="s">
        <v>420</v>
      </c>
      <c r="K24" s="15" t="s">
        <v>421</v>
      </c>
      <c r="L24" s="16" t="s">
        <v>423</v>
      </c>
      <c r="M24" s="16" t="n">
        <v>0.0834</v>
      </c>
      <c r="N24" s="16" t="s">
        <v>432</v>
      </c>
      <c r="O24" s="16" t="n">
        <v>0.27</v>
      </c>
      <c r="P24" s="21" t="n">
        <f aca="false">FALSE()</f>
        <v>0</v>
      </c>
      <c r="Q24" s="16"/>
      <c r="R24" s="16"/>
      <c r="S24" s="16"/>
      <c r="T24" s="16"/>
      <c r="U24" s="15" t="s">
        <v>445</v>
      </c>
      <c r="V24" s="15" t="s">
        <v>446</v>
      </c>
      <c r="W24" s="16" t="s">
        <v>426</v>
      </c>
      <c r="X24" s="21" t="n">
        <f aca="false">FALSE()</f>
        <v>0</v>
      </c>
      <c r="Y24" s="16"/>
      <c r="Z24" s="16"/>
      <c r="AA24" s="16"/>
      <c r="AB24" s="16"/>
      <c r="AC24" s="16"/>
    </row>
    <row r="25" customFormat="false" ht="15.75" hidden="false" customHeight="false" outlineLevel="0" collapsed="false">
      <c r="A25" s="14" t="s">
        <v>88</v>
      </c>
      <c r="B25" s="15" t="s">
        <v>455</v>
      </c>
      <c r="C25" s="14" t="s">
        <v>456</v>
      </c>
      <c r="D25" s="14" t="n">
        <v>444</v>
      </c>
      <c r="E25" s="14" t="s">
        <v>443</v>
      </c>
      <c r="F25" s="14" t="n">
        <v>1</v>
      </c>
      <c r="G25" s="20"/>
      <c r="H25" s="18" t="n">
        <v>43206</v>
      </c>
      <c r="I25" s="15" t="s">
        <v>419</v>
      </c>
      <c r="J25" s="16" t="s">
        <v>420</v>
      </c>
      <c r="K25" s="15" t="s">
        <v>421</v>
      </c>
      <c r="L25" s="16" t="s">
        <v>433</v>
      </c>
      <c r="M25" s="16" t="n">
        <v>0.0923</v>
      </c>
      <c r="N25" s="16" t="s">
        <v>432</v>
      </c>
      <c r="O25" s="16" t="n">
        <v>0.24</v>
      </c>
      <c r="P25" s="21" t="n">
        <f aca="false">FALSE()</f>
        <v>0</v>
      </c>
      <c r="Q25" s="16"/>
      <c r="R25" s="16"/>
      <c r="S25" s="16"/>
      <c r="T25" s="16"/>
      <c r="U25" s="15" t="s">
        <v>445</v>
      </c>
      <c r="V25" s="15" t="s">
        <v>446</v>
      </c>
      <c r="W25" s="16" t="s">
        <v>426</v>
      </c>
      <c r="X25" s="21" t="n">
        <f aca="false">FALSE()</f>
        <v>0</v>
      </c>
      <c r="Y25" s="16"/>
      <c r="Z25" s="16"/>
      <c r="AA25" s="16"/>
      <c r="AB25" s="16"/>
      <c r="AC25" s="16"/>
    </row>
    <row r="26" customFormat="false" ht="15.75" hidden="false" customHeight="false" outlineLevel="0" collapsed="false">
      <c r="A26" s="14" t="s">
        <v>88</v>
      </c>
      <c r="B26" s="15" t="s">
        <v>452</v>
      </c>
      <c r="C26" s="14" t="s">
        <v>453</v>
      </c>
      <c r="D26" s="14" t="n">
        <v>57</v>
      </c>
      <c r="E26" s="14" t="s">
        <v>443</v>
      </c>
      <c r="F26" s="14" t="n">
        <v>1</v>
      </c>
      <c r="G26" s="20"/>
      <c r="H26" s="18" t="n">
        <v>43206</v>
      </c>
      <c r="I26" s="15" t="s">
        <v>419</v>
      </c>
      <c r="J26" s="16" t="s">
        <v>420</v>
      </c>
      <c r="K26" s="15" t="s">
        <v>421</v>
      </c>
      <c r="L26" s="16"/>
      <c r="M26" s="16"/>
      <c r="N26" s="16"/>
      <c r="O26" s="16" t="n">
        <v>0.54</v>
      </c>
      <c r="P26" s="21" t="n">
        <f aca="false">FALSE()</f>
        <v>0</v>
      </c>
      <c r="Q26" s="16"/>
      <c r="R26" s="16"/>
      <c r="S26" s="16"/>
      <c r="T26" s="16"/>
      <c r="U26" s="15" t="s">
        <v>445</v>
      </c>
      <c r="V26" s="15" t="s">
        <v>446</v>
      </c>
      <c r="W26" s="16" t="s">
        <v>426</v>
      </c>
      <c r="X26" s="21" t="n">
        <f aca="false">FALSE()</f>
        <v>0</v>
      </c>
      <c r="Y26" s="16"/>
      <c r="Z26" s="16"/>
      <c r="AA26" s="16"/>
      <c r="AB26" s="16"/>
      <c r="AC26" s="16"/>
    </row>
    <row r="27" customFormat="false" ht="15.75" hidden="false" customHeight="false" outlineLevel="0" collapsed="false">
      <c r="A27" s="14" t="s">
        <v>88</v>
      </c>
      <c r="B27" s="15" t="s">
        <v>457</v>
      </c>
      <c r="C27" s="14" t="s">
        <v>458</v>
      </c>
      <c r="D27" s="14" t="n">
        <v>81.4</v>
      </c>
      <c r="E27" s="14" t="s">
        <v>443</v>
      </c>
      <c r="F27" s="14" t="n">
        <v>1</v>
      </c>
      <c r="G27" s="20" t="n">
        <v>43207</v>
      </c>
      <c r="H27" s="18"/>
      <c r="I27" s="15" t="s">
        <v>419</v>
      </c>
      <c r="J27" s="16" t="s">
        <v>420</v>
      </c>
      <c r="K27" s="15" t="s">
        <v>421</v>
      </c>
      <c r="L27" s="16"/>
      <c r="M27" s="16"/>
      <c r="N27" s="16"/>
      <c r="O27" s="16" t="n">
        <v>0.57</v>
      </c>
      <c r="P27" s="21" t="n">
        <f aca="false">FALSE()</f>
        <v>0</v>
      </c>
      <c r="Q27" s="16"/>
      <c r="R27" s="16"/>
      <c r="S27" s="16"/>
      <c r="T27" s="16"/>
      <c r="U27" s="15" t="s">
        <v>445</v>
      </c>
      <c r="V27" s="15" t="s">
        <v>446</v>
      </c>
      <c r="W27" s="16" t="s">
        <v>426</v>
      </c>
      <c r="X27" s="21" t="n">
        <f aca="false">FALSE()</f>
        <v>0</v>
      </c>
      <c r="Y27" s="16"/>
      <c r="Z27" s="16"/>
      <c r="AA27" s="16"/>
      <c r="AB27" s="16"/>
      <c r="AC27" s="16"/>
    </row>
    <row r="28" customFormat="false" ht="15.75" hidden="false" customHeight="false" outlineLevel="0" collapsed="false">
      <c r="A28" s="14" t="s">
        <v>88</v>
      </c>
      <c r="B28" s="15" t="s">
        <v>449</v>
      </c>
      <c r="C28" s="14" t="s">
        <v>450</v>
      </c>
      <c r="D28" s="14" t="n">
        <v>327</v>
      </c>
      <c r="E28" s="14" t="s">
        <v>443</v>
      </c>
      <c r="F28" s="14" t="n">
        <v>1</v>
      </c>
      <c r="G28" s="20" t="n">
        <v>43208</v>
      </c>
      <c r="H28" s="18"/>
      <c r="I28" s="15" t="s">
        <v>419</v>
      </c>
      <c r="J28" s="16" t="s">
        <v>420</v>
      </c>
      <c r="K28" s="15" t="s">
        <v>421</v>
      </c>
      <c r="L28" s="16"/>
      <c r="M28" s="16"/>
      <c r="N28" s="16"/>
      <c r="O28" s="16" t="n">
        <v>0.27</v>
      </c>
      <c r="P28" s="21" t="n">
        <f aca="false">FALSE()</f>
        <v>0</v>
      </c>
      <c r="Q28" s="16"/>
      <c r="R28" s="16"/>
      <c r="S28" s="16"/>
      <c r="T28" s="16"/>
      <c r="U28" s="15" t="s">
        <v>445</v>
      </c>
      <c r="V28" s="15" t="s">
        <v>446</v>
      </c>
      <c r="W28" s="16" t="s">
        <v>426</v>
      </c>
      <c r="X28" s="21" t="n">
        <f aca="false">FALSE()</f>
        <v>0</v>
      </c>
      <c r="Y28" s="16"/>
      <c r="Z28" s="16"/>
      <c r="AA28" s="16"/>
      <c r="AB28" s="16"/>
      <c r="AC28" s="16"/>
    </row>
    <row r="29" customFormat="false" ht="15.75" hidden="false" customHeight="false" outlineLevel="0" collapsed="false">
      <c r="A29" s="14" t="s">
        <v>88</v>
      </c>
      <c r="B29" s="15" t="s">
        <v>461</v>
      </c>
      <c r="C29" s="14" t="s">
        <v>462</v>
      </c>
      <c r="D29" s="14" t="n">
        <v>0.394</v>
      </c>
      <c r="E29" s="14" t="s">
        <v>443</v>
      </c>
      <c r="F29" s="14" t="n">
        <v>1</v>
      </c>
      <c r="G29" s="20" t="n">
        <v>43209</v>
      </c>
      <c r="H29" s="18"/>
      <c r="I29" s="15" t="s">
        <v>419</v>
      </c>
      <c r="J29" s="16" t="s">
        <v>420</v>
      </c>
      <c r="K29" s="15" t="s">
        <v>421</v>
      </c>
      <c r="L29" s="16"/>
      <c r="M29" s="16"/>
      <c r="N29" s="16"/>
      <c r="O29" s="16" t="n">
        <v>0.24</v>
      </c>
      <c r="P29" s="21" t="n">
        <f aca="false">TRUE()</f>
        <v>1</v>
      </c>
      <c r="Q29" s="16"/>
      <c r="R29" s="16"/>
      <c r="S29" s="16"/>
      <c r="T29" s="16"/>
      <c r="U29" s="15" t="s">
        <v>445</v>
      </c>
      <c r="V29" s="15" t="s">
        <v>446</v>
      </c>
      <c r="W29" s="16" t="s">
        <v>426</v>
      </c>
      <c r="X29" s="21" t="n">
        <f aca="false">TRUE()</f>
        <v>1</v>
      </c>
      <c r="Y29" s="16"/>
      <c r="Z29" s="16"/>
      <c r="AA29" s="16"/>
      <c r="AB29" s="16"/>
      <c r="AC29" s="16"/>
    </row>
    <row r="30" customFormat="false" ht="15.75" hidden="false" customHeight="false" outlineLevel="0" collapsed="false">
      <c r="A30" s="14" t="s">
        <v>88</v>
      </c>
      <c r="B30" s="15" t="s">
        <v>441</v>
      </c>
      <c r="C30" s="14" t="s">
        <v>442</v>
      </c>
      <c r="D30" s="14" t="n">
        <v>190</v>
      </c>
      <c r="E30" s="14" t="s">
        <v>443</v>
      </c>
      <c r="F30" s="14" t="n">
        <v>1</v>
      </c>
      <c r="G30" s="20" t="n">
        <v>43210</v>
      </c>
      <c r="H30" s="18"/>
      <c r="I30" s="15" t="s">
        <v>419</v>
      </c>
      <c r="J30" s="16" t="s">
        <v>420</v>
      </c>
      <c r="K30" s="15" t="s">
        <v>421</v>
      </c>
      <c r="L30" s="16"/>
      <c r="M30" s="16" t="n">
        <v>0.0284</v>
      </c>
      <c r="N30" s="16" t="s">
        <v>469</v>
      </c>
      <c r="O30" s="16" t="n">
        <v>0.54</v>
      </c>
      <c r="P30" s="21" t="n">
        <f aca="false">TRUE()</f>
        <v>1</v>
      </c>
      <c r="Q30" s="16"/>
      <c r="R30" s="16"/>
      <c r="S30" s="16"/>
      <c r="T30" s="16"/>
      <c r="U30" s="15" t="s">
        <v>445</v>
      </c>
      <c r="V30" s="15" t="s">
        <v>446</v>
      </c>
      <c r="W30" s="16" t="s">
        <v>426</v>
      </c>
      <c r="X30" s="21" t="n">
        <f aca="false">TRUE()</f>
        <v>1</v>
      </c>
      <c r="Y30" s="16"/>
      <c r="Z30" s="16"/>
      <c r="AA30" s="16"/>
      <c r="AB30" s="16"/>
      <c r="AC30" s="16"/>
    </row>
    <row r="31" customFormat="false" ht="15.75" hidden="false" customHeight="false" outlineLevel="0" collapsed="false">
      <c r="A31" s="14" t="s">
        <v>88</v>
      </c>
      <c r="B31" s="15" t="s">
        <v>459</v>
      </c>
      <c r="C31" s="14" t="s">
        <v>460</v>
      </c>
      <c r="D31" s="14" t="n">
        <v>2.96</v>
      </c>
      <c r="E31" s="14" t="s">
        <v>443</v>
      </c>
      <c r="F31" s="14" t="n">
        <v>1</v>
      </c>
      <c r="G31" s="20" t="n">
        <v>43211</v>
      </c>
      <c r="H31" s="18"/>
      <c r="I31" s="15" t="s">
        <v>419</v>
      </c>
      <c r="J31" s="16" t="s">
        <v>420</v>
      </c>
      <c r="K31" s="15" t="s">
        <v>421</v>
      </c>
      <c r="L31" s="16" t="s">
        <v>469</v>
      </c>
      <c r="M31" s="16" t="n">
        <v>0.0284</v>
      </c>
      <c r="N31" s="16" t="s">
        <v>469</v>
      </c>
      <c r="O31" s="16" t="n">
        <v>0.57</v>
      </c>
      <c r="P31" s="21" t="n">
        <f aca="false">TRUE()</f>
        <v>1</v>
      </c>
      <c r="Q31" s="16"/>
      <c r="R31" s="16"/>
      <c r="S31" s="16"/>
      <c r="T31" s="16"/>
      <c r="U31" s="15" t="s">
        <v>445</v>
      </c>
      <c r="V31" s="15" t="s">
        <v>446</v>
      </c>
      <c r="W31" s="16" t="s">
        <v>426</v>
      </c>
      <c r="X31" s="21" t="n">
        <f aca="false">FALSE()</f>
        <v>0</v>
      </c>
      <c r="Y31" s="16"/>
      <c r="Z31" s="16"/>
      <c r="AA31" s="16"/>
      <c r="AB31" s="16"/>
      <c r="AC31" s="16"/>
    </row>
    <row r="32" customFormat="false" ht="15.75" hidden="false" customHeight="false" outlineLevel="0" collapsed="false">
      <c r="A32" s="14" t="s">
        <v>88</v>
      </c>
      <c r="B32" s="15" t="s">
        <v>463</v>
      </c>
      <c r="C32" s="14" t="s">
        <v>464</v>
      </c>
      <c r="D32" s="14" t="n">
        <v>1.47</v>
      </c>
      <c r="E32" s="14" t="s">
        <v>443</v>
      </c>
      <c r="F32" s="14" t="n">
        <v>12</v>
      </c>
      <c r="G32" s="20" t="n">
        <v>43212</v>
      </c>
      <c r="H32" s="18"/>
      <c r="I32" s="15" t="s">
        <v>410</v>
      </c>
      <c r="J32" s="16"/>
      <c r="K32" s="15" t="s">
        <v>421</v>
      </c>
      <c r="L32" s="16" t="s">
        <v>470</v>
      </c>
      <c r="M32" s="16" t="n">
        <v>0.0284</v>
      </c>
      <c r="N32" s="16" t="s">
        <v>470</v>
      </c>
      <c r="O32" s="16" t="n">
        <v>0.27</v>
      </c>
      <c r="P32" s="21" t="n">
        <f aca="false">TRUE()</f>
        <v>1</v>
      </c>
      <c r="Q32" s="16" t="n">
        <v>1.28</v>
      </c>
      <c r="R32" s="16" t="n">
        <v>2.24</v>
      </c>
      <c r="S32" s="16" t="n">
        <v>1.5</v>
      </c>
      <c r="T32" s="16" t="n">
        <v>0.3675</v>
      </c>
      <c r="U32" s="15" t="s">
        <v>445</v>
      </c>
      <c r="V32" s="15" t="s">
        <v>446</v>
      </c>
      <c r="W32" s="16" t="s">
        <v>101</v>
      </c>
      <c r="X32" s="21" t="n">
        <f aca="false">TRUE()</f>
        <v>1</v>
      </c>
      <c r="Y32" s="16" t="s">
        <v>471</v>
      </c>
      <c r="Z32" s="16"/>
      <c r="AA32" s="16"/>
      <c r="AB32" s="16"/>
      <c r="AC32" s="16"/>
    </row>
    <row r="33" customFormat="false" ht="15.75" hidden="false" customHeight="false" outlineLevel="0" collapsed="false">
      <c r="A33" s="14" t="s">
        <v>96</v>
      </c>
      <c r="B33" s="15" t="s">
        <v>416</v>
      </c>
      <c r="C33" s="14" t="s">
        <v>417</v>
      </c>
      <c r="D33" s="14" t="n">
        <v>58.2</v>
      </c>
      <c r="E33" s="14" t="s">
        <v>418</v>
      </c>
      <c r="F33" s="14" t="n">
        <v>6</v>
      </c>
      <c r="G33" s="20" t="n">
        <v>43244</v>
      </c>
      <c r="H33" s="18"/>
      <c r="I33" s="15" t="s">
        <v>410</v>
      </c>
      <c r="J33" s="16"/>
      <c r="K33" s="15" t="s">
        <v>421</v>
      </c>
      <c r="L33" s="16" t="s">
        <v>469</v>
      </c>
      <c r="M33" s="16" t="n">
        <v>0.0834</v>
      </c>
      <c r="N33" s="16" t="s">
        <v>469</v>
      </c>
      <c r="O33" s="16" t="n">
        <v>0.24</v>
      </c>
      <c r="P33" s="21" t="n">
        <f aca="false">TRUE()</f>
        <v>1</v>
      </c>
      <c r="Q33" s="16" t="n">
        <v>56.3</v>
      </c>
      <c r="R33" s="16" t="n">
        <v>69.5</v>
      </c>
      <c r="S33" s="22" t="n">
        <v>58</v>
      </c>
      <c r="T33" s="16" t="n">
        <v>14.55</v>
      </c>
      <c r="U33" s="15" t="s">
        <v>424</v>
      </c>
      <c r="V33" s="15" t="s">
        <v>425</v>
      </c>
      <c r="W33" s="16" t="s">
        <v>101</v>
      </c>
      <c r="X33" s="21" t="n">
        <f aca="false">TRUE()</f>
        <v>1</v>
      </c>
      <c r="Y33" s="16" t="s">
        <v>472</v>
      </c>
      <c r="Z33" s="16"/>
      <c r="AA33" s="16"/>
      <c r="AB33" s="16"/>
      <c r="AC33" s="16"/>
    </row>
    <row r="34" customFormat="false" ht="15.75" hidden="false" customHeight="false" outlineLevel="0" collapsed="false">
      <c r="A34" s="14" t="s">
        <v>96</v>
      </c>
      <c r="B34" s="15" t="s">
        <v>430</v>
      </c>
      <c r="C34" s="14" t="s">
        <v>431</v>
      </c>
      <c r="D34" s="14" t="n">
        <v>16.6</v>
      </c>
      <c r="E34" s="14" t="s">
        <v>418</v>
      </c>
      <c r="F34" s="14" t="n">
        <v>15</v>
      </c>
      <c r="G34" s="20" t="n">
        <v>43244</v>
      </c>
      <c r="H34" s="18"/>
      <c r="I34" s="15" t="s">
        <v>410</v>
      </c>
      <c r="J34" s="16"/>
      <c r="K34" s="15" t="s">
        <v>421</v>
      </c>
      <c r="L34" s="16" t="s">
        <v>470</v>
      </c>
      <c r="M34" s="16" t="n">
        <v>0.0923</v>
      </c>
      <c r="N34" s="16" t="s">
        <v>470</v>
      </c>
      <c r="O34" s="16" t="n">
        <v>0.57</v>
      </c>
      <c r="P34" s="21" t="n">
        <f aca="false">TRUE()</f>
        <v>1</v>
      </c>
      <c r="Q34" s="16" t="n">
        <v>15.6</v>
      </c>
      <c r="R34" s="16" t="n">
        <v>18.9</v>
      </c>
      <c r="S34" s="16" t="n">
        <v>17.1</v>
      </c>
      <c r="T34" s="16" t="n">
        <v>4.15</v>
      </c>
      <c r="U34" s="15" t="s">
        <v>434</v>
      </c>
      <c r="V34" s="15" t="s">
        <v>435</v>
      </c>
      <c r="W34" s="16" t="s">
        <v>101</v>
      </c>
      <c r="X34" s="21" t="n">
        <f aca="false">FALSE()</f>
        <v>0</v>
      </c>
      <c r="Y34" s="16" t="s">
        <v>473</v>
      </c>
      <c r="Z34" s="16"/>
      <c r="AA34" s="16"/>
      <c r="AB34" s="16"/>
      <c r="AC34" s="16"/>
    </row>
    <row r="35" customFormat="false" ht="15.75" hidden="false" customHeight="false" outlineLevel="0" collapsed="false">
      <c r="A35" s="14" t="s">
        <v>96</v>
      </c>
      <c r="B35" s="15" t="s">
        <v>427</v>
      </c>
      <c r="C35" s="14" t="s">
        <v>428</v>
      </c>
      <c r="D35" s="14" t="n">
        <v>1.25</v>
      </c>
      <c r="E35" s="14" t="s">
        <v>418</v>
      </c>
      <c r="F35" s="14" t="n">
        <v>4</v>
      </c>
      <c r="G35" s="20" t="n">
        <v>43244</v>
      </c>
      <c r="H35" s="18"/>
      <c r="I35" s="15" t="s">
        <v>410</v>
      </c>
      <c r="J35" s="16"/>
      <c r="K35" s="15" t="s">
        <v>421</v>
      </c>
      <c r="L35" s="16"/>
      <c r="M35" s="16"/>
      <c r="N35" s="16"/>
      <c r="O35" s="16" t="n">
        <v>0.27</v>
      </c>
      <c r="P35" s="21" t="n">
        <f aca="false">TRUE()</f>
        <v>1</v>
      </c>
      <c r="Q35" s="16" t="n">
        <v>1.05</v>
      </c>
      <c r="R35" s="16" t="n">
        <v>1.35</v>
      </c>
      <c r="S35" s="16" t="n">
        <v>1.32</v>
      </c>
      <c r="T35" s="16" t="n">
        <v>0.3125</v>
      </c>
      <c r="U35" s="15" t="s">
        <v>429</v>
      </c>
      <c r="V35" s="15" t="s">
        <v>413</v>
      </c>
      <c r="W35" s="16" t="s">
        <v>101</v>
      </c>
      <c r="X35" s="21" t="n">
        <f aca="false">TRUE()</f>
        <v>1</v>
      </c>
      <c r="Y35" s="16" t="s">
        <v>474</v>
      </c>
      <c r="Z35" s="16"/>
      <c r="AA35" s="16"/>
      <c r="AB35" s="16"/>
      <c r="AC35" s="16"/>
    </row>
    <row r="36" customFormat="false" ht="15.75" hidden="false" customHeight="false" outlineLevel="0" collapsed="false">
      <c r="A36" s="14" t="s">
        <v>96</v>
      </c>
      <c r="B36" s="15" t="s">
        <v>436</v>
      </c>
      <c r="C36" s="14" t="s">
        <v>437</v>
      </c>
      <c r="D36" s="14" t="n">
        <v>2.02</v>
      </c>
      <c r="E36" s="14" t="s">
        <v>418</v>
      </c>
      <c r="F36" s="14" t="n">
        <v>18</v>
      </c>
      <c r="G36" s="20"/>
      <c r="H36" s="18" t="n">
        <v>43244</v>
      </c>
      <c r="I36" s="15" t="s">
        <v>410</v>
      </c>
      <c r="J36" s="16"/>
      <c r="K36" s="15" t="s">
        <v>421</v>
      </c>
      <c r="L36" s="16"/>
      <c r="M36" s="16"/>
      <c r="N36" s="16"/>
      <c r="O36" s="16" t="n">
        <v>0.57</v>
      </c>
      <c r="P36" s="21" t="n">
        <f aca="false">TRUE()</f>
        <v>1</v>
      </c>
      <c r="Q36" s="16" t="n">
        <v>1.99</v>
      </c>
      <c r="R36" s="16" t="n">
        <v>2.42</v>
      </c>
      <c r="S36" s="16" t="n">
        <v>2.04</v>
      </c>
      <c r="T36" s="16" t="n">
        <v>0.505</v>
      </c>
      <c r="U36" s="15" t="s">
        <v>438</v>
      </c>
      <c r="V36" s="15" t="s">
        <v>439</v>
      </c>
      <c r="W36" s="16" t="s">
        <v>101</v>
      </c>
      <c r="X36" s="21" t="n">
        <f aca="false">FALSE()</f>
        <v>0</v>
      </c>
      <c r="Y36" s="16" t="s">
        <v>475</v>
      </c>
      <c r="Z36" s="16"/>
      <c r="AA36" s="16"/>
      <c r="AB36" s="16"/>
      <c r="AC36" s="16"/>
    </row>
    <row r="37" customFormat="false" ht="15.75" hidden="false" customHeight="false" outlineLevel="0" collapsed="false">
      <c r="A37" s="14" t="s">
        <v>96</v>
      </c>
      <c r="B37" s="15" t="s">
        <v>455</v>
      </c>
      <c r="C37" s="14" t="s">
        <v>456</v>
      </c>
      <c r="D37" s="14" t="n">
        <v>387</v>
      </c>
      <c r="E37" s="14" t="s">
        <v>443</v>
      </c>
      <c r="F37" s="14" t="n">
        <v>9</v>
      </c>
      <c r="G37" s="20"/>
      <c r="H37" s="18" t="n">
        <v>43244</v>
      </c>
      <c r="I37" s="15" t="s">
        <v>410</v>
      </c>
      <c r="J37" s="16"/>
      <c r="K37" s="15" t="s">
        <v>421</v>
      </c>
      <c r="L37" s="16"/>
      <c r="M37" s="16"/>
      <c r="N37" s="16"/>
      <c r="O37" s="16" t="n">
        <v>0.27</v>
      </c>
      <c r="P37" s="21" t="n">
        <f aca="false">FALSE()</f>
        <v>0</v>
      </c>
      <c r="Q37" s="16" t="n">
        <v>284</v>
      </c>
      <c r="R37" s="16" t="n">
        <v>401</v>
      </c>
      <c r="S37" s="16" t="n">
        <v>374</v>
      </c>
      <c r="T37" s="16" t="n">
        <v>96.75</v>
      </c>
      <c r="U37" s="15" t="s">
        <v>445</v>
      </c>
      <c r="V37" s="15" t="s">
        <v>446</v>
      </c>
      <c r="W37" s="16" t="s">
        <v>101</v>
      </c>
      <c r="X37" s="21" t="n">
        <f aca="false">TRUE()</f>
        <v>1</v>
      </c>
      <c r="Y37" s="16" t="s">
        <v>476</v>
      </c>
      <c r="Z37" s="16"/>
      <c r="AA37" s="16"/>
      <c r="AB37" s="16"/>
      <c r="AC37" s="16"/>
    </row>
    <row r="38" customFormat="false" ht="15.75" hidden="false" customHeight="false" outlineLevel="0" collapsed="false">
      <c r="A38" s="14" t="s">
        <v>96</v>
      </c>
      <c r="B38" s="15" t="s">
        <v>441</v>
      </c>
      <c r="C38" s="14" t="s">
        <v>442</v>
      </c>
      <c r="D38" s="14" t="n">
        <v>179</v>
      </c>
      <c r="E38" s="14" t="s">
        <v>443</v>
      </c>
      <c r="F38" s="14" t="n">
        <v>7</v>
      </c>
      <c r="G38" s="20"/>
      <c r="H38" s="18" t="n">
        <v>43244</v>
      </c>
      <c r="I38" s="15" t="s">
        <v>410</v>
      </c>
      <c r="J38" s="16"/>
      <c r="K38" s="15" t="s">
        <v>421</v>
      </c>
      <c r="L38" s="16"/>
      <c r="M38" s="16"/>
      <c r="N38" s="16"/>
      <c r="O38" s="16" t="n">
        <v>0.24</v>
      </c>
      <c r="P38" s="21" t="n">
        <f aca="false">FALSE()</f>
        <v>0</v>
      </c>
      <c r="Q38" s="16" t="n">
        <v>168</v>
      </c>
      <c r="R38" s="16" t="n">
        <v>189</v>
      </c>
      <c r="S38" s="16" t="n">
        <v>189</v>
      </c>
      <c r="T38" s="16" t="n">
        <v>44.75</v>
      </c>
      <c r="U38" s="15" t="s">
        <v>445</v>
      </c>
      <c r="V38" s="15" t="s">
        <v>446</v>
      </c>
      <c r="W38" s="16" t="s">
        <v>101</v>
      </c>
      <c r="X38" s="21" t="n">
        <f aca="false">TRUE()</f>
        <v>1</v>
      </c>
      <c r="Y38" s="16" t="s">
        <v>477</v>
      </c>
      <c r="Z38" s="16"/>
      <c r="AA38" s="16"/>
      <c r="AB38" s="16"/>
      <c r="AC38" s="16"/>
    </row>
    <row r="39" customFormat="false" ht="15.75" hidden="false" customHeight="false" outlineLevel="0" collapsed="false">
      <c r="A39" s="14" t="s">
        <v>96</v>
      </c>
      <c r="B39" s="15" t="s">
        <v>449</v>
      </c>
      <c r="C39" s="14" t="s">
        <v>450</v>
      </c>
      <c r="D39" s="14" t="n">
        <v>320</v>
      </c>
      <c r="E39" s="14" t="s">
        <v>443</v>
      </c>
      <c r="F39" s="14" t="n">
        <v>13</v>
      </c>
      <c r="G39" s="20"/>
      <c r="H39" s="18" t="n">
        <v>43244</v>
      </c>
      <c r="I39" s="15" t="s">
        <v>410</v>
      </c>
      <c r="J39" s="16"/>
      <c r="K39" s="15" t="s">
        <v>421</v>
      </c>
      <c r="L39" s="16"/>
      <c r="M39" s="16"/>
      <c r="N39" s="16"/>
      <c r="O39" s="16" t="n">
        <v>0.54</v>
      </c>
      <c r="P39" s="21" t="n">
        <f aca="false">FALSE()</f>
        <v>0</v>
      </c>
      <c r="Q39" s="16" t="n">
        <v>280</v>
      </c>
      <c r="R39" s="16" t="n">
        <v>343</v>
      </c>
      <c r="S39" s="16" t="n">
        <v>315</v>
      </c>
      <c r="T39" s="16" t="n">
        <v>80</v>
      </c>
      <c r="U39" s="15" t="s">
        <v>445</v>
      </c>
      <c r="V39" s="15" t="s">
        <v>446</v>
      </c>
      <c r="W39" s="16" t="s">
        <v>101</v>
      </c>
      <c r="X39" s="21" t="n">
        <f aca="false">TRUE()</f>
        <v>1</v>
      </c>
      <c r="Y39" s="16" t="s">
        <v>478</v>
      </c>
      <c r="Z39" s="16"/>
      <c r="AA39" s="16"/>
      <c r="AB39" s="16"/>
      <c r="AC39" s="16"/>
    </row>
    <row r="40" customFormat="false" ht="15.75" hidden="false" customHeight="false" outlineLevel="0" collapsed="false">
      <c r="A40" s="14" t="s">
        <v>96</v>
      </c>
      <c r="B40" s="15" t="s">
        <v>457</v>
      </c>
      <c r="C40" s="14" t="s">
        <v>458</v>
      </c>
      <c r="D40" s="14" t="n">
        <v>69.8</v>
      </c>
      <c r="E40" s="14" t="s">
        <v>443</v>
      </c>
      <c r="F40" s="14" t="n">
        <v>1</v>
      </c>
      <c r="G40" s="20" t="n">
        <v>43206</v>
      </c>
      <c r="H40" s="18"/>
      <c r="I40" s="15" t="s">
        <v>410</v>
      </c>
      <c r="J40" s="16"/>
      <c r="K40" s="15" t="s">
        <v>421</v>
      </c>
      <c r="L40" s="16"/>
      <c r="M40" s="16"/>
      <c r="N40" s="16"/>
      <c r="O40" s="16" t="n">
        <v>0.57</v>
      </c>
      <c r="P40" s="21" t="n">
        <f aca="false">FALSE()</f>
        <v>0</v>
      </c>
      <c r="Q40" s="16"/>
      <c r="R40" s="16"/>
      <c r="S40" s="16"/>
      <c r="T40" s="16"/>
      <c r="U40" s="15" t="s">
        <v>445</v>
      </c>
      <c r="V40" s="15" t="s">
        <v>446</v>
      </c>
      <c r="W40" s="16" t="s">
        <v>101</v>
      </c>
      <c r="X40" s="21" t="n">
        <f aca="false">FALSE()</f>
        <v>0</v>
      </c>
      <c r="Y40" s="16"/>
      <c r="Z40" s="16"/>
      <c r="AA40" s="16"/>
      <c r="AB40" s="16"/>
      <c r="AC40" s="16"/>
    </row>
    <row r="41" customFormat="false" ht="15.75" hidden="false" customHeight="false" outlineLevel="0" collapsed="false">
      <c r="A41" s="14" t="s">
        <v>96</v>
      </c>
      <c r="B41" s="15" t="s">
        <v>447</v>
      </c>
      <c r="C41" s="14" t="s">
        <v>448</v>
      </c>
      <c r="D41" s="14" t="n">
        <v>1.18</v>
      </c>
      <c r="E41" s="14" t="s">
        <v>443</v>
      </c>
      <c r="F41" s="14" t="n">
        <v>1</v>
      </c>
      <c r="G41" s="20" t="n">
        <v>43206</v>
      </c>
      <c r="H41" s="18"/>
      <c r="I41" s="15" t="s">
        <v>410</v>
      </c>
      <c r="J41" s="16"/>
      <c r="K41" s="15" t="s">
        <v>421</v>
      </c>
      <c r="L41" s="16" t="s">
        <v>479</v>
      </c>
      <c r="M41" s="16" t="n">
        <v>0.0923</v>
      </c>
      <c r="N41" s="16" t="s">
        <v>469</v>
      </c>
      <c r="O41" s="16" t="n">
        <v>0.27</v>
      </c>
      <c r="P41" s="21" t="n">
        <f aca="false">FALSE()</f>
        <v>0</v>
      </c>
      <c r="Q41" s="16"/>
      <c r="R41" s="16"/>
      <c r="S41" s="16"/>
      <c r="T41" s="16"/>
      <c r="U41" s="15" t="s">
        <v>445</v>
      </c>
      <c r="V41" s="15" t="s">
        <v>446</v>
      </c>
      <c r="W41" s="16" t="s">
        <v>101</v>
      </c>
      <c r="X41" s="21" t="n">
        <f aca="false">FALSE()</f>
        <v>0</v>
      </c>
      <c r="Y41" s="16"/>
      <c r="Z41" s="16"/>
      <c r="AA41" s="16"/>
      <c r="AB41" s="16"/>
      <c r="AC41" s="16"/>
    </row>
    <row r="42" customFormat="false" ht="15.75" hidden="false" customHeight="false" outlineLevel="0" collapsed="false">
      <c r="A42" s="14" t="s">
        <v>96</v>
      </c>
      <c r="B42" s="15" t="s">
        <v>463</v>
      </c>
      <c r="C42" s="14" t="s">
        <v>464</v>
      </c>
      <c r="D42" s="14" t="n">
        <v>1.42</v>
      </c>
      <c r="E42" s="14" t="s">
        <v>443</v>
      </c>
      <c r="F42" s="14" t="n">
        <v>1</v>
      </c>
      <c r="G42" s="20"/>
      <c r="H42" s="18" t="n">
        <v>43206</v>
      </c>
      <c r="I42" s="15" t="s">
        <v>410</v>
      </c>
      <c r="J42" s="16"/>
      <c r="K42" s="15" t="s">
        <v>421</v>
      </c>
      <c r="L42" s="16" t="s">
        <v>480</v>
      </c>
      <c r="M42" s="16" t="n">
        <v>0.0834</v>
      </c>
      <c r="N42" s="16" t="s">
        <v>470</v>
      </c>
      <c r="O42" s="16" t="n">
        <v>0.24</v>
      </c>
      <c r="P42" s="21" t="n">
        <f aca="false">FALSE()</f>
        <v>0</v>
      </c>
      <c r="Q42" s="16"/>
      <c r="R42" s="16"/>
      <c r="S42" s="16"/>
      <c r="T42" s="16"/>
      <c r="U42" s="15" t="s">
        <v>445</v>
      </c>
      <c r="V42" s="15" t="s">
        <v>446</v>
      </c>
      <c r="W42" s="16" t="s">
        <v>101</v>
      </c>
      <c r="X42" s="21" t="n">
        <f aca="false">FALSE()</f>
        <v>0</v>
      </c>
      <c r="Y42" s="16"/>
      <c r="Z42" s="16"/>
      <c r="AA42" s="16"/>
      <c r="AB42" s="16"/>
      <c r="AC42" s="16"/>
    </row>
    <row r="43" customFormat="false" ht="15.75" hidden="false" customHeight="false" outlineLevel="0" collapsed="false">
      <c r="A43" s="14" t="s">
        <v>96</v>
      </c>
      <c r="B43" s="15" t="s">
        <v>459</v>
      </c>
      <c r="C43" s="14" t="s">
        <v>460</v>
      </c>
      <c r="D43" s="14" t="n">
        <v>2.72</v>
      </c>
      <c r="E43" s="14" t="s">
        <v>443</v>
      </c>
      <c r="F43" s="14" t="n">
        <v>1</v>
      </c>
      <c r="G43" s="20"/>
      <c r="H43" s="18" t="n">
        <v>43206</v>
      </c>
      <c r="I43" s="15" t="s">
        <v>410</v>
      </c>
      <c r="J43" s="16"/>
      <c r="K43" s="15" t="s">
        <v>421</v>
      </c>
      <c r="L43" s="16" t="s">
        <v>481</v>
      </c>
      <c r="M43" s="16" t="n">
        <v>0.0923</v>
      </c>
      <c r="N43" s="16" t="s">
        <v>469</v>
      </c>
      <c r="O43" s="16" t="n">
        <v>0.54</v>
      </c>
      <c r="P43" s="21" t="n">
        <f aca="false">FALSE()</f>
        <v>0</v>
      </c>
      <c r="Q43" s="16"/>
      <c r="R43" s="16"/>
      <c r="S43" s="16"/>
      <c r="T43" s="16"/>
      <c r="U43" s="15" t="s">
        <v>445</v>
      </c>
      <c r="V43" s="15" t="s">
        <v>446</v>
      </c>
      <c r="W43" s="16" t="s">
        <v>101</v>
      </c>
      <c r="X43" s="21" t="n">
        <f aca="false">FALSE()</f>
        <v>0</v>
      </c>
      <c r="Y43" s="16"/>
      <c r="Z43" s="16"/>
      <c r="AA43" s="16"/>
      <c r="AB43" s="16"/>
      <c r="AC43" s="16"/>
    </row>
    <row r="44" customFormat="false" ht="15.75" hidden="false" customHeight="false" outlineLevel="0" collapsed="false">
      <c r="A44" s="14" t="s">
        <v>96</v>
      </c>
      <c r="B44" s="15" t="s">
        <v>452</v>
      </c>
      <c r="C44" s="14" t="s">
        <v>453</v>
      </c>
      <c r="D44" s="14" t="n">
        <v>46</v>
      </c>
      <c r="E44" s="14" t="s">
        <v>443</v>
      </c>
      <c r="F44" s="14" t="n">
        <v>1</v>
      </c>
      <c r="G44" s="20"/>
      <c r="H44" s="18" t="n">
        <v>43207</v>
      </c>
      <c r="I44" s="15" t="s">
        <v>410</v>
      </c>
      <c r="J44" s="16"/>
      <c r="K44" s="15" t="s">
        <v>421</v>
      </c>
      <c r="L44" s="16" t="s">
        <v>480</v>
      </c>
      <c r="M44" s="16" t="n">
        <v>0.0834</v>
      </c>
      <c r="N44" s="16" t="s">
        <v>470</v>
      </c>
      <c r="O44" s="16" t="n">
        <v>0.57</v>
      </c>
      <c r="P44" s="21" t="n">
        <f aca="false">FALSE()</f>
        <v>0</v>
      </c>
      <c r="Q44" s="16"/>
      <c r="R44" s="16"/>
      <c r="S44" s="16"/>
      <c r="T44" s="16"/>
      <c r="U44" s="15" t="s">
        <v>445</v>
      </c>
      <c r="V44" s="15" t="s">
        <v>446</v>
      </c>
      <c r="W44" s="16" t="s">
        <v>101</v>
      </c>
      <c r="X44" s="21" t="n">
        <f aca="false">FALSE()</f>
        <v>0</v>
      </c>
      <c r="Y44" s="16"/>
      <c r="Z44" s="16"/>
      <c r="AA44" s="16"/>
      <c r="AB44" s="16"/>
      <c r="AC44" s="16"/>
    </row>
    <row r="45" customFormat="false" ht="15.75" hidden="false" customHeight="false" outlineLevel="0" collapsed="false">
      <c r="A45" s="14" t="s">
        <v>96</v>
      </c>
      <c r="B45" s="15" t="s">
        <v>461</v>
      </c>
      <c r="C45" s="14" t="s">
        <v>462</v>
      </c>
      <c r="D45" s="14" t="n">
        <v>0.382</v>
      </c>
      <c r="E45" s="14" t="s">
        <v>443</v>
      </c>
      <c r="F45" s="14" t="n">
        <v>1</v>
      </c>
      <c r="G45" s="20"/>
      <c r="H45" s="18" t="n">
        <v>43208</v>
      </c>
      <c r="I45" s="15" t="s">
        <v>410</v>
      </c>
      <c r="J45" s="16"/>
      <c r="K45" s="15" t="s">
        <v>421</v>
      </c>
      <c r="L45" s="16"/>
      <c r="M45" s="16"/>
      <c r="N45" s="16"/>
      <c r="O45" s="16" t="n">
        <v>0.27</v>
      </c>
      <c r="P45" s="21" t="n">
        <f aca="false">FALSE()</f>
        <v>0</v>
      </c>
      <c r="Q45" s="16"/>
      <c r="R45" s="16"/>
      <c r="S45" s="16"/>
      <c r="T45" s="16"/>
      <c r="U45" s="15" t="s">
        <v>445</v>
      </c>
      <c r="V45" s="15" t="s">
        <v>446</v>
      </c>
      <c r="W45" s="16" t="s">
        <v>101</v>
      </c>
      <c r="X45" s="21" t="n">
        <f aca="false">FALSE()</f>
        <v>0</v>
      </c>
      <c r="Y45" s="16"/>
      <c r="Z45" s="16"/>
      <c r="AA45" s="16"/>
      <c r="AB45" s="16"/>
      <c r="AC45" s="16"/>
    </row>
    <row r="46" customFormat="false" ht="15.75" hidden="false" customHeight="false" outlineLevel="0" collapsed="false"/>
    <row r="47" customFormat="false" ht="15.75" hidden="false" customHeight="false" outlineLevel="0" collapsed="false"/>
    <row r="48" customFormat="false" ht="15.75" hidden="false" customHeight="false" outlineLevel="0" collapsed="false"/>
    <row r="49" customFormat="false" ht="15.75" hidden="false" customHeight="fals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4" activeCellId="0" sqref="C4"/>
    </sheetView>
  </sheetViews>
  <sheetFormatPr defaultColWidth="9.58203125" defaultRowHeight="12.75" customHeight="true" zeroHeight="false" outlineLevelRow="0" outlineLevelCol="0"/>
  <cols>
    <col collapsed="false" customWidth="true" hidden="false" outlineLevel="0" max="1" min="1" style="1" width="28.66"/>
    <col collapsed="false" customWidth="true" hidden="false" outlineLevel="0" max="2" min="2" style="1" width="32"/>
    <col collapsed="false" customWidth="true" hidden="false" outlineLevel="0" max="3" min="3" style="1" width="25.33"/>
    <col collapsed="false" customWidth="true" hidden="false" outlineLevel="0" max="4" min="4" style="1" width="39.83"/>
    <col collapsed="false" customWidth="true" hidden="false" outlineLevel="0" max="5" min="5" style="1" width="59.92"/>
  </cols>
  <sheetData>
    <row r="1" customFormat="false" ht="33" hidden="false" customHeight="true" outlineLevel="0" collapsed="false">
      <c r="A1" s="9" t="s">
        <v>482</v>
      </c>
      <c r="B1" s="9" t="s">
        <v>483</v>
      </c>
      <c r="C1" s="9" t="s">
        <v>484</v>
      </c>
      <c r="D1" s="10" t="s">
        <v>485</v>
      </c>
      <c r="E1" s="10" t="s">
        <v>486</v>
      </c>
    </row>
    <row r="2" customFormat="false" ht="15" hidden="false" customHeight="false" outlineLevel="0" collapsed="false">
      <c r="A2" s="14" t="s">
        <v>487</v>
      </c>
      <c r="B2" s="14" t="n">
        <v>29</v>
      </c>
      <c r="C2" s="14" t="s">
        <v>488</v>
      </c>
      <c r="D2" s="15" t="s">
        <v>489</v>
      </c>
      <c r="E2" s="15" t="s">
        <v>490</v>
      </c>
    </row>
    <row r="3" customFormat="false" ht="15.75" hidden="false" customHeight="false" outlineLevel="0" collapsed="false"/>
    <row r="4" customFormat="false" ht="15.75" hidden="false" customHeight="false" outlineLevel="0" collapsed="false"/>
    <row r="5" customFormat="false" ht="15.7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LibreOffice/25.2.3.2$MacOSX_AARCH64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2025-03-04T14:45:31Z</dcterms:created>
  <dc:creator>Blumberg, Kai - (kblumberg)</dc:creator>
  <dc:description/>
  <dc:language>en-CA</dc:language>
  <cp:lastModifiedBy/>
  <dcterms:modified xsi:type="dcterms:W3CDTF">2026-04-10T18:01:37Z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